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verson.brandalize\Downloads\Pessoal\Projetos\Dio\"/>
    </mc:Choice>
  </mc:AlternateContent>
  <xr:revisionPtr revIDLastSave="0" documentId="8_{3D3BA4A1-BF77-4C8F-80A7-1C66A130970A}" xr6:coauthVersionLast="47" xr6:coauthVersionMax="47" xr10:uidLastSave="{00000000-0000-0000-0000-000000000000}"/>
  <bookViews>
    <workbookView xWindow="-110" yWindow="-110" windowWidth="19420" windowHeight="1030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_xlchart.v2.0" hidden="1">C̳álculos!$F$14</definedName>
    <definedName name="_xlchart.v2.1" hidden="1">C̳álculos!$F$23</definedName>
    <definedName name="_xlchart.v2.2" hidden="1">C̳álculos!$F$14</definedName>
    <definedName name="_xlchart.v2.3" hidden="1">C̳álculos!$F$30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  <c r="F23" i="3"/>
  <c r="F14" i="3"/>
</calcChain>
</file>

<file path=xl/sharedStrings.xml><?xml version="1.0" encoding="utf-8"?>
<sst xmlns="http://schemas.openxmlformats.org/spreadsheetml/2006/main" count="2011" uniqueCount="318">
  <si>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</si>
  <si>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</si>
  <si>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</si>
  <si>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</si>
  <si>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</si>
  <si>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</si>
  <si>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</si>
  <si>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</si>
  <si>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</si>
  <si>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</si>
  <si>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</si>
  <si>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</si>
  <si>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</si>
  <si>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</si>
  <si>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</si>
  <si>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</si>
  <si>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</si>
  <si>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</si>
  <si>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</si>
  <si>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</si>
  <si>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</si>
  <si>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</si>
  <si>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</si>
  <si>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</si>
  <si>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</si>
  <si>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</si>
  <si>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</si>
  <si>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</si>
  <si>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</si>
  <si>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</si>
  <si>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</si>
  <si>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</si>
  <si>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</si>
  <si>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</si>
  <si>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</si>
  <si>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</si>
  <si>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</si>
  <si>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</si>
  <si>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</si>
  <si>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</si>
  <si>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</si>
  <si>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</si>
  <si>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</si>
  <si>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</si>
  <si>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</si>
  <si>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</si>
  <si>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</si>
  <si>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</si>
  <si>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</si>
  <si>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</si>
  <si>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</si>
  <si>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</si>
  <si>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</si>
  <si>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</si>
  <si>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</si>
  <si>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</si>
  <si>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</si>
  <si>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</si>
  <si>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</si>
  <si>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</si>
  <si>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</si>
  <si>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</si>
  <si>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</si>
  <si>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</si>
  <si>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</si>
  <si>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</si>
  <si>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</si>
  <si>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</si>
  <si>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</si>
  <si>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</si>
  <si>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</si>
  <si>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</si>
  <si>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</si>
  <si>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</si>
  <si>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</si>
  <si>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</si>
  <si>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</si>
  <si>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</si>
  <si>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</si>
  <si>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</si>
  <si>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</si>
  <si>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</si>
  <si>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</si>
  <si>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</si>
  <si>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</si>
  <si>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</si>
  <si>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</si>
  <si>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</si>
  <si>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</si>
  <si>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</si>
  <si>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</si>
  <si>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</si>
  <si>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</si>
  <si>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</si>
  <si>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</si>
  <si>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</si>
  <si>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</si>
  <si>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</si>
  <si>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</si>
  <si>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</si>
  <si>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</si>
  <si>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</si>
  <si>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</si>
  <si>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</si>
  <si>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</si>
  <si>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</si>
  <si>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</si>
  <si>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</si>
  <si>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</si>
  <si>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</si>
  <si>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</si>
  <si>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</si>
  <si>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</si>
  <si>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</si>
  <si>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</si>
  <si>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</si>
  <si>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</si>
  <si>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</si>
  <si>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</si>
  <si>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</si>
  <si>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</si>
  <si>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</si>
  <si>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</si>
  <si>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</si>
  <si>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</si>
  <si>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</si>
  <si>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</si>
  <si>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</si>
  <si>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</si>
  <si>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</si>
  <si>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</si>
  <si>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</si>
  <si>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</si>
  <si>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</si>
  <si>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</si>
  <si>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</si>
  <si>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</si>
  <si>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</si>
  <si>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</si>
  <si>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</si>
  <si>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</si>
  <si>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</si>
  <si>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</si>
  <si>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</si>
  <si>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</si>
  <si>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</si>
  <si>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</si>
  <si>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</si>
  <si>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</si>
  <si>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</si>
  <si>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</si>
  <si>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</si>
  <si>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</si>
  <si>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</si>
  <si>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</si>
  <si>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</si>
  <si>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</si>
  <si>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</si>
  <si>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</si>
  <si>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</si>
  <si>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</si>
  <si>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</si>
  <si>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</si>
  <si>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</si>
  <si>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</si>
  <si>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</si>
  <si>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</si>
  <si>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</si>
  <si>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</si>
  <si>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</si>
  <si>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</si>
  <si>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</si>
  <si>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</si>
  <si>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</si>
  <si>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</si>
  <si>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</si>
  <si>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</si>
  <si>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</si>
  <si>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</si>
  <si>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</si>
  <si>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</si>
  <si>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</si>
  <si>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</si>
  <si>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</si>
  <si>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</si>
  <si>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</si>
  <si>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</si>
  <si>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</si>
  <si>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</si>
  <si>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</si>
  <si>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</si>
  <si>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</si>
  <si>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</si>
  <si>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</si>
  <si>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</si>
  <si>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</si>
  <si>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</si>
  <si>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</si>
  <si>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</si>
  <si>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</si>
  <si>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</si>
  <si>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</si>
  <si>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</si>
  <si>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</si>
  <si>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</si>
  <si>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</si>
  <si>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</si>
  <si>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</si>
  <si>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</si>
  <si>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</si>
  <si>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</si>
  <si>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</si>
  <si>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</si>
  <si>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</si>
  <si>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</si>
  <si>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</si>
  <si>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</si>
  <si>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</si>
  <si>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</si>
  <si>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</si>
  <si>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</si>
  <si>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</si>
  <si>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</si>
  <si>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</si>
  <si>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</si>
  <si>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</si>
  <si>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</si>
  <si>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</si>
  <si>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</si>
  <si>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</si>
  <si>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</si>
  <si>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</si>
  <si>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</si>
  <si>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</si>
  <si>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</si>
  <si>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</si>
  <si>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</si>
  <si>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</si>
  <si>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</si>
  <si>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</si>
  <si>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</si>
  <si>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</si>
  <si>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</si>
  <si>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</si>
  <si>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</si>
  <si>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</si>
  <si>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</si>
  <si>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</si>
  <si>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</si>
  <si>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</si>
  <si>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</si>
  <si>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</si>
  <si>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</si>
  <si>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</si>
  <si>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</si>
  <si>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</si>
  <si>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</si>
  <si>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</si>
  <si>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</si>
  <si>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</si>
  <si>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</si>
  <si>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</si>
  <si>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</si>
  <si>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</si>
  <si>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</si>
  <si>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</si>
  <si>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</si>
  <si>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</si>
  <si>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</si>
  <si>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</si>
  <si>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</si>
  <si>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</si>
  <si>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</si>
  <si>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</si>
  <si>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</si>
  <si>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</si>
  <si>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</si>
  <si>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</si>
  <si>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</si>
  <si>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</si>
  <si>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</si>
  <si>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</si>
  <si>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</si>
  <si>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</si>
  <si>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</si>
  <si>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</si>
  <si>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</si>
  <si>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</si>
  <si>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</si>
  <si>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</si>
  <si>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</si>
  <si>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</si>
  <si>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</si>
  <si>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</si>
  <si>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</si>
  <si>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</si>
  <si>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</si>
  <si>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</si>
  <si>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</si>
  <si>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</si>
  <si>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</si>
  <si>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</si>
  <si>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</si>
  <si>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</si>
  <si>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</si>
  <si>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</si>
  <si>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</si>
  <si>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</si>
  <si>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</si>
  <si>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</si>
  <si>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</si>
  <si>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</si>
  <si>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</si>
  <si>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</si>
  <si>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Soma de EA Play Season Pass</t>
  </si>
  <si>
    <t>Soma de Minecraft Season Pass Price</t>
  </si>
  <si>
    <t>(Vários itens)</t>
  </si>
  <si>
    <t>Valor Total das Assinaturas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</si>
</sst>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applyNumberFormat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2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rgb="FF2AE6B1"/>
          <bgColor rgb="FF2AE6B1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5" xr9:uid="{0B2515E0-5EF1-4A61-B107-340162C95208}">
      <tableStyleElement type="wholeTable" dxfId="3"/>
      <tableStyleElement type="headerRow" dxfId="2"/>
    </tableStyle>
    <tableStyle name="SlicerStyleLight3 2" pivot="0" table="0" count="10" xr9:uid="{8DF4D616-C708-44AB-902C-6609FE24B89A}">
      <tableStyleElement type="wholeTable" dxfId="6"/>
      <tableStyleElement type="headerRow" dxfId="5"/>
    </tableStyle>
  </tableStyles>
  <colors>
    <mruColors>
      <color rgb="FF22C55E"/>
      <color rgb="FF9BC848"/>
      <color rgb="FF2AE6B1"/>
      <color rgb="FFE8E6E9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11">
        <dxf>
          <fill>
            <patternFill>
              <bgColor rgb="FF22C55E"/>
            </patternFill>
          </fill>
        </dxf>
        <dxf>
          <fill>
            <patternFill>
              <bgColor rgb="FF9BC848"/>
            </patternFill>
          </fill>
        </dxf>
        <dxf>
          <fill>
            <patternFill>
              <bgColor rgb="FF9BC848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2AE6B1"/>
              <bgColor theme="6" tint="0.7999511703848384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E8E6E9"/>
              <bgColor theme="6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0"/>
            <x14:slicerStyleElement type="hoveredSelectedItemWithData" dxfId="2"/>
            <x14:slicerStyleElement type="hoveredSelectedItemWithNoData" dxfId="1"/>
          </x14:slicerStyleElements>
        </x14:slicerStyle>
        <x14:slicerStyle name="SlicerStyleLight3 2">
          <x14:slicerStyleElements>
            <x14:slicerStyleElement type="unselectedItemWithData" dxfId="10"/>
            <x14:slicerStyleElement type="unselectedItemWithNoData" dxfId="9"/>
            <x14:slicerStyleElement type="selectedItemWithData" dxfId="8"/>
            <x14:slicerStyleElement type="selectedItemWithNoData" dxfId="7"/>
            <x14:slicerStyleElement type="hoveredUnselectedItemWithData" dxfId="6"/>
            <x14:slicerStyleElement type="hoveredSelectedItemWithData" dxfId="5"/>
            <x14:slicerStyleElement type="hoveredUnselectedItemWithNoData" dxfId="4"/>
            <x14:slicerStyleElement type="hoveredSelectedItemWithNoData" dxfId="3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82117552643362"/>
          <c:y val="2.7782982585122424E-2"/>
          <c:w val="0.70097305365720097"/>
          <c:h val="0.929860660117237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3"/>
                <c:pt idx="0">
                  <c:v>312</c:v>
                </c:pt>
                <c:pt idx="1">
                  <c:v>1406</c:v>
                </c:pt>
                <c:pt idx="2">
                  <c:v>3607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D-4C7D-89E7-0CAFE3719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6665968"/>
        <c:axId val="716664048"/>
      </c:barChart>
      <c:catAx>
        <c:axId val="716665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6664048"/>
        <c:crosses val="autoZero"/>
        <c:auto val="1"/>
        <c:lblAlgn val="ctr"/>
        <c:lblOffset val="100"/>
        <c:noMultiLvlLbl val="0"/>
      </c:catAx>
      <c:valAx>
        <c:axId val="7166640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71666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_xlchart.v2.0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42FDD89C-6300-4275-AF75-E491513E411D}">
          <cx:spPr>
            <a:solidFill>
              <a:srgbClr val="22C55E"/>
            </a:solidFill>
          </cx:spPr>
          <cx:dataPt idx="0">
            <cx:spPr>
              <a:effectLst>
                <a:softEdge rad="101600"/>
              </a:effectLst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800" b="1">
                    <a:solidFill>
                      <a:schemeClr val="bg1"/>
                    </a:solidFill>
                  </a:defRPr>
                </a:pPr>
                <a:endParaRPr lang="pt-BR" sz="28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_xlchart.v2.1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42FDD89C-6300-4275-AF75-E491513E411D}">
          <cx:spPr>
            <a:solidFill>
              <a:srgbClr val="22C55E"/>
            </a:solidFill>
          </cx:spPr>
          <cx:dataPt idx="0">
            <cx:spPr>
              <a:effectLst>
                <a:softEdge rad="101600"/>
              </a:effectLst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800" b="1">
                    <a:solidFill>
                      <a:schemeClr val="bg1"/>
                    </a:solidFill>
                  </a:defRPr>
                </a:pPr>
                <a:endParaRPr lang="pt-BR" sz="28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_xlchart.v2.3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42FDD89C-6300-4275-AF75-E491513E411D}">
          <cx:spPr>
            <a:solidFill>
              <a:srgbClr val="22C55E"/>
            </a:solidFill>
          </cx:spPr>
          <cx:dataPt idx="0">
            <cx:spPr>
              <a:effectLst>
                <a:softEdge rad="101600"/>
              </a:effectLst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800" b="1">
                    <a:solidFill>
                      <a:schemeClr val="bg1"/>
                    </a:solidFill>
                  </a:defRPr>
                </a:pPr>
                <a:endParaRPr lang="pt-BR" sz="28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7.png"/><Relationship Id="rId7" Type="http://schemas.openxmlformats.org/officeDocument/2006/relationships/image" Target="../media/image10.svg"/><Relationship Id="rId12" Type="http://schemas.openxmlformats.org/officeDocument/2006/relationships/image" Target="../media/image2.png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image" Target="../media/image9.png"/><Relationship Id="rId11" Type="http://schemas.openxmlformats.org/officeDocument/2006/relationships/image" Target="../media/image1.png"/><Relationship Id="rId5" Type="http://schemas.openxmlformats.org/officeDocument/2006/relationships/image" Target="../media/image8.png"/><Relationship Id="rId10" Type="http://schemas.microsoft.com/office/2014/relationships/chartEx" Target="../charts/chartEx3.xml"/><Relationship Id="rId4" Type="http://schemas.microsoft.com/office/2014/relationships/chartEx" Target="../charts/chartEx2.xml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27780</xdr:colOff>
      <xdr:row>15</xdr:row>
      <xdr:rowOff>63500</xdr:rowOff>
    </xdr:from>
    <xdr:to>
      <xdr:col>13</xdr:col>
      <xdr:colOff>190499</xdr:colOff>
      <xdr:row>29</xdr:row>
      <xdr:rowOff>88106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2E76D5-9737-4A7E-9084-982FFE3C0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111125</xdr:colOff>
      <xdr:row>6</xdr:row>
      <xdr:rowOff>349250</xdr:rowOff>
    </xdr:from>
    <xdr:to>
      <xdr:col>1</xdr:col>
      <xdr:colOff>1955006</xdr:colOff>
      <xdr:row>20</xdr:row>
      <xdr:rowOff>153985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0F5E6679-2784-4F2B-B645-9EAF821C2F9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313" y="1476375"/>
              <a:ext cx="1843881" cy="2678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39686</xdr:colOff>
      <xdr:row>6</xdr:row>
      <xdr:rowOff>42417</xdr:rowOff>
    </xdr:from>
    <xdr:to>
      <xdr:col>10</xdr:col>
      <xdr:colOff>555624</xdr:colOff>
      <xdr:row>12</xdr:row>
      <xdr:rowOff>55562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41A8944-7A61-A8B5-1508-B2E2DE3C9CD3}"/>
            </a:ext>
          </a:extLst>
        </xdr:cNvPr>
        <xdr:cNvGrpSpPr/>
      </xdr:nvGrpSpPr>
      <xdr:grpSpPr>
        <a:xfrm>
          <a:off x="3238499" y="1169542"/>
          <a:ext cx="4183063" cy="1346645"/>
          <a:chOff x="2794000" y="1185417"/>
          <a:chExt cx="4183063" cy="1346645"/>
        </a:xfrm>
      </xdr:grpSpPr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4" name="Gráfico 3">
                <a:extLst>
                  <a:ext uri="{FF2B5EF4-FFF2-40B4-BE49-F238E27FC236}">
                    <a16:creationId xmlns:a16="http://schemas.microsoft.com/office/drawing/2014/main" id="{AC5EAF02-D18D-41E5-9B52-54C9352F9603}"/>
                  </a:ext>
                </a:extLst>
              </xdr:cNvPr>
              <xdr:cNvGraphicFramePr/>
            </xdr:nvGraphicFramePr>
            <xdr:xfrm>
              <a:off x="4260850" y="1246187"/>
              <a:ext cx="2708276" cy="128587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260850" y="1246187"/>
                <a:ext cx="2708276" cy="12858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Este gráfico não está disponível na sua versão de Excel.
Editar esta forma ou salvar esta pasta de trabalho em um formato de arquivo diferente quebrará o gráfico permanentemente.</a:t>
                </a:r>
              </a:p>
            </xdr:txBody>
          </xdr:sp>
        </mc:Fallback>
      </mc:AlternateContent>
      <xdr:pic>
        <xdr:nvPicPr>
          <xdr:cNvPr id="7" name="Imagem 6">
            <a:extLst>
              <a:ext uri="{FF2B5EF4-FFF2-40B4-BE49-F238E27FC236}">
                <a16:creationId xmlns:a16="http://schemas.microsoft.com/office/drawing/2014/main" id="{F505BFCA-0A16-48B7-A032-EAA4FEDEA2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52749" y="1185417"/>
            <a:ext cx="1381126" cy="1330772"/>
          </a:xfrm>
          <a:prstGeom prst="rect">
            <a:avLst/>
          </a:prstGeom>
        </xdr:spPr>
      </xdr:pic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73BB0BAE-21E8-7299-9ADD-EF61EC43DF49}"/>
              </a:ext>
            </a:extLst>
          </xdr:cNvPr>
          <xdr:cNvSpPr/>
        </xdr:nvSpPr>
        <xdr:spPr>
          <a:xfrm>
            <a:off x="2794000" y="1269999"/>
            <a:ext cx="4183063" cy="1230314"/>
          </a:xfrm>
          <a:prstGeom prst="roundRect">
            <a:avLst/>
          </a:prstGeom>
          <a:noFill/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13</xdr:col>
      <xdr:colOff>9524</xdr:colOff>
      <xdr:row>6</xdr:row>
      <xdr:rowOff>127000</xdr:rowOff>
    </xdr:from>
    <xdr:to>
      <xdr:col>20</xdr:col>
      <xdr:colOff>0</xdr:colOff>
      <xdr:row>12</xdr:row>
      <xdr:rowOff>33338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6BFA3C1F-DD9F-0786-DE85-D6F87E46BBC4}"/>
            </a:ext>
          </a:extLst>
        </xdr:cNvPr>
        <xdr:cNvGrpSpPr/>
      </xdr:nvGrpSpPr>
      <xdr:grpSpPr>
        <a:xfrm>
          <a:off x="8558212" y="1254125"/>
          <a:ext cx="4268788" cy="1239838"/>
          <a:chOff x="8335962" y="1254125"/>
          <a:chExt cx="4268788" cy="1239838"/>
        </a:xfrm>
      </xdr:grpSpPr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5" name="Gráfico 4">
                <a:extLst>
                  <a:ext uri="{FF2B5EF4-FFF2-40B4-BE49-F238E27FC236}">
                    <a16:creationId xmlns:a16="http://schemas.microsoft.com/office/drawing/2014/main" id="{5F023C12-ED4F-4F96-995C-67EC85069A6C}"/>
                  </a:ext>
                </a:extLst>
              </xdr:cNvPr>
              <xdr:cNvGraphicFramePr/>
            </xdr:nvGraphicFramePr>
            <xdr:xfrm>
              <a:off x="9906000" y="1254125"/>
              <a:ext cx="2698750" cy="12065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906000" y="1254125"/>
                <a:ext cx="2698750" cy="1206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Este gráfico não está disponível na sua versão de Excel.
Editar esta forma ou salvar esta pasta de trabalho em um formato de arquivo diferente quebrará o gráfico permanentemente.</a:t>
                </a:r>
              </a:p>
            </xdr:txBody>
          </xdr:sp>
        </mc:Fallback>
      </mc:AlternateContent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A9E69BDB-B5E9-48E4-841C-69EA99E18C13}"/>
              </a:ext>
            </a:extLst>
          </xdr:cNvPr>
          <xdr:cNvGrpSpPr/>
        </xdr:nvGrpSpPr>
        <xdr:grpSpPr>
          <a:xfrm>
            <a:off x="8461373" y="1524005"/>
            <a:ext cx="1454225" cy="682380"/>
            <a:chOff x="3495675" y="5400674"/>
            <a:chExt cx="1549476" cy="752476"/>
          </a:xfrm>
        </xdr:grpSpPr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BD716912-E4CF-D3CA-BF3E-B410E3C682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0" name="Gráfico 9">
              <a:extLst>
                <a:ext uri="{FF2B5EF4-FFF2-40B4-BE49-F238E27FC236}">
                  <a16:creationId xmlns:a16="http://schemas.microsoft.com/office/drawing/2014/main" id="{E74E5E6E-E240-04A6-616F-4A1AD59C65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0B891E64-A982-43B1-8232-B3009D847A45}"/>
              </a:ext>
            </a:extLst>
          </xdr:cNvPr>
          <xdr:cNvSpPr/>
        </xdr:nvSpPr>
        <xdr:spPr>
          <a:xfrm>
            <a:off x="8335962" y="1263649"/>
            <a:ext cx="4183063" cy="1230314"/>
          </a:xfrm>
          <a:prstGeom prst="roundRect">
            <a:avLst/>
          </a:prstGeom>
          <a:noFill/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</xdr:col>
      <xdr:colOff>444501</xdr:colOff>
      <xdr:row>6</xdr:row>
      <xdr:rowOff>7937</xdr:rowOff>
    </xdr:from>
    <xdr:to>
      <xdr:col>1</xdr:col>
      <xdr:colOff>1505034</xdr:colOff>
      <xdr:row>6</xdr:row>
      <xdr:rowOff>272498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AF53D830-1DF7-17B4-AE6E-16E182D06CD1}"/>
            </a:ext>
          </a:extLst>
        </xdr:cNvPr>
        <xdr:cNvGrpSpPr/>
      </xdr:nvGrpSpPr>
      <xdr:grpSpPr>
        <a:xfrm>
          <a:off x="674689" y="1135062"/>
          <a:ext cx="1060533" cy="264561"/>
          <a:chOff x="674689" y="1135062"/>
          <a:chExt cx="1060533" cy="264561"/>
        </a:xfrm>
      </xdr:grpSpPr>
      <xdr:pic>
        <xdr:nvPicPr>
          <xdr:cNvPr id="19" name="Gráfico 18" descr="Lupa com preenchimento sólido">
            <a:extLst>
              <a:ext uri="{FF2B5EF4-FFF2-40B4-BE49-F238E27FC236}">
                <a16:creationId xmlns:a16="http://schemas.microsoft.com/office/drawing/2014/main" id="{B5B6787A-22EE-4F18-AE96-6C4BEDE467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74689" y="1135062"/>
            <a:ext cx="238125" cy="231775"/>
          </a:xfrm>
          <a:prstGeom prst="rect">
            <a:avLst/>
          </a:prstGeom>
        </xdr:spPr>
      </xdr:pic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ECFAFEAC-BAC6-6DE0-1F2E-12F7A3F83B50}"/>
              </a:ext>
            </a:extLst>
          </xdr:cNvPr>
          <xdr:cNvSpPr txBox="1"/>
        </xdr:nvSpPr>
        <xdr:spPr>
          <a:xfrm>
            <a:off x="873127" y="1135063"/>
            <a:ext cx="86209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100" i="1"/>
              <a:t>Filtar</a:t>
            </a:r>
            <a:r>
              <a:rPr lang="pt-BR" sz="1100" i="1" baseline="0"/>
              <a:t> Dados</a:t>
            </a:r>
            <a:endParaRPr lang="pt-BR" sz="1100" i="1"/>
          </a:p>
        </xdr:txBody>
      </xdr:sp>
    </xdr:grpSp>
    <xdr:clientData/>
  </xdr:twoCellAnchor>
  <xdr:twoCellAnchor>
    <xdr:from>
      <xdr:col>13</xdr:col>
      <xdr:colOff>31750</xdr:colOff>
      <xdr:row>18</xdr:row>
      <xdr:rowOff>21082</xdr:rowOff>
    </xdr:from>
    <xdr:to>
      <xdr:col>19</xdr:col>
      <xdr:colOff>547688</xdr:colOff>
      <xdr:row>25</xdr:row>
      <xdr:rowOff>29019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73EB35C5-D707-BBCC-36AA-47A3049CA4EF}"/>
            </a:ext>
          </a:extLst>
        </xdr:cNvPr>
        <xdr:cNvGrpSpPr/>
      </xdr:nvGrpSpPr>
      <xdr:grpSpPr>
        <a:xfrm>
          <a:off x="8580438" y="3656457"/>
          <a:ext cx="4183063" cy="1285875"/>
          <a:chOff x="8897938" y="3839020"/>
          <a:chExt cx="4183063" cy="1285875"/>
        </a:xfrm>
      </xdr:grpSpPr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16" name="Gráfico 15">
                <a:extLst>
                  <a:ext uri="{FF2B5EF4-FFF2-40B4-BE49-F238E27FC236}">
                    <a16:creationId xmlns:a16="http://schemas.microsoft.com/office/drawing/2014/main" id="{4281A979-9267-3036-3A39-A01433510A62}"/>
                  </a:ext>
                </a:extLst>
              </xdr:cNvPr>
              <xdr:cNvGraphicFramePr/>
            </xdr:nvGraphicFramePr>
            <xdr:xfrm>
              <a:off x="10364788" y="3839020"/>
              <a:ext cx="2708276" cy="128587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0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364788" y="3839020"/>
                <a:ext cx="2708276" cy="12858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Este gráfico não está disponível na sua versão de Excel.
Editar esta forma ou salvar esta pasta de trabalho em um formato de arquivo diferente quebrará o gráfico permanentemente.</a:t>
                </a:r>
              </a:p>
            </xdr:txBody>
          </xdr:sp>
        </mc:Fallback>
      </mc:AlternateContent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DD486C79-BD5D-4B70-BDF0-36943695899E}"/>
              </a:ext>
            </a:extLst>
          </xdr:cNvPr>
          <xdr:cNvSpPr/>
        </xdr:nvSpPr>
        <xdr:spPr>
          <a:xfrm>
            <a:off x="8897938" y="3862832"/>
            <a:ext cx="4183063" cy="1230314"/>
          </a:xfrm>
          <a:prstGeom prst="roundRect">
            <a:avLst/>
          </a:prstGeom>
          <a:noFill/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7861E902-7F2D-4D4E-BA52-11D433B31D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8985250" y="4270376"/>
            <a:ext cx="1500597" cy="439548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79375</xdr:colOff>
      <xdr:row>0</xdr:row>
      <xdr:rowOff>7938</xdr:rowOff>
    </xdr:from>
    <xdr:to>
      <xdr:col>4</xdr:col>
      <xdr:colOff>246062</xdr:colOff>
      <xdr:row>6</xdr:row>
      <xdr:rowOff>35820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19268909-C7BC-43D1-9CF1-1BD66F75B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" y="7938"/>
          <a:ext cx="3365500" cy="115500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leverson Brandalize" refreshedDate="46181.682825925927" createdVersion="8" refreshedVersion="8" minRefreshableVersion="3" recordCount="295" xr:uid="{B02390EE-ED3B-45DF-80C8-37A9EA671F4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37793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x v="0"/>
    <s v="Yes"/>
    <x v="0"/>
    <s v="Yes"/>
    <n v="20"/>
    <n v="5"/>
    <n v="60"/>
  </r>
  <r>
    <n v="3232"/>
    <s v="Maria Oliveira"/>
    <x v="1"/>
    <d v="2024-01-15T00:00:00"/>
    <s v="No"/>
    <n v="5"/>
    <x v="1"/>
    <s v="No"/>
    <x v="1"/>
    <s v="No"/>
    <n v="0"/>
    <n v="0"/>
    <n v="5"/>
  </r>
  <r>
    <n v="3233"/>
    <s v="Lucas Fernandes"/>
    <x v="2"/>
    <d v="2024-02-10T00:00:00"/>
    <s v="Yes"/>
    <n v="10"/>
    <x v="2"/>
    <s v="No"/>
    <x v="1"/>
    <s v="Yes"/>
    <n v="20"/>
    <n v="10"/>
    <n v="20"/>
  </r>
  <r>
    <n v="3234"/>
    <s v="Ana Souza"/>
    <x v="0"/>
    <d v="2024-02-20T00:00:00"/>
    <s v="No"/>
    <n v="15"/>
    <x v="0"/>
    <s v="Yes"/>
    <x v="0"/>
    <s v="Yes"/>
    <n v="20"/>
    <n v="3"/>
    <n v="62"/>
  </r>
  <r>
    <n v="3235"/>
    <s v="Pedro Gonçalves"/>
    <x v="1"/>
    <d v="2024-03-05T00:00:00"/>
    <s v="Yes"/>
    <n v="5"/>
    <x v="0"/>
    <s v="No"/>
    <x v="1"/>
    <s v="No"/>
    <n v="0"/>
    <n v="1"/>
    <n v="4"/>
  </r>
  <r>
    <n v="3236"/>
    <s v="Felipe Costa"/>
    <x v="2"/>
    <d v="2024-03-02T00:00:00"/>
    <s v="No"/>
    <n v="10"/>
    <x v="0"/>
    <s v="No"/>
    <x v="1"/>
    <s v="Yes"/>
    <n v="20"/>
    <n v="2"/>
    <n v="28"/>
  </r>
  <r>
    <n v="3237"/>
    <s v="Camila Ribeiro"/>
    <x v="0"/>
    <d v="2024-03-03T00:00:00"/>
    <s v="Yes"/>
    <n v="15"/>
    <x v="2"/>
    <s v="Yes"/>
    <x v="0"/>
    <s v="Yes"/>
    <n v="20"/>
    <n v="10"/>
    <n v="55"/>
  </r>
  <r>
    <n v="3238"/>
    <s v="André Mendes"/>
    <x v="1"/>
    <d v="2024-03-04T00:00:00"/>
    <s v="Yes"/>
    <n v="5"/>
    <x v="1"/>
    <s v="No"/>
    <x v="1"/>
    <s v="No"/>
    <n v="0"/>
    <n v="0"/>
    <n v="5"/>
  </r>
  <r>
    <n v="3239"/>
    <s v="Sofia Almeida"/>
    <x v="0"/>
    <d v="2024-03-05T00:00:00"/>
    <s v="No"/>
    <n v="15"/>
    <x v="0"/>
    <s v="Yes"/>
    <x v="0"/>
    <s v="Yes"/>
    <n v="20"/>
    <n v="5"/>
    <n v="60"/>
  </r>
  <r>
    <n v="3240"/>
    <s v="Bruno Martins"/>
    <x v="2"/>
    <d v="2024-03-06T00:00:00"/>
    <s v="Yes"/>
    <n v="10"/>
    <x v="2"/>
    <s v="No"/>
    <x v="1"/>
    <s v="Yes"/>
    <n v="20"/>
    <n v="15"/>
    <n v="15"/>
  </r>
  <r>
    <n v="3241"/>
    <s v="Rita Castro"/>
    <x v="1"/>
    <d v="2024-03-07T00:00:00"/>
    <s v="No"/>
    <n v="5"/>
    <x v="0"/>
    <s v="No"/>
    <x v="1"/>
    <s v="No"/>
    <n v="0"/>
    <n v="1"/>
    <n v="4"/>
  </r>
  <r>
    <n v="3242"/>
    <s v="Marco Túlio"/>
    <x v="0"/>
    <d v="2024-03-08T00:00:00"/>
    <s v="Yes"/>
    <n v="15"/>
    <x v="1"/>
    <s v="Yes"/>
    <x v="0"/>
    <s v="Yes"/>
    <n v="20"/>
    <n v="20"/>
    <n v="45"/>
  </r>
  <r>
    <n v="3243"/>
    <s v="Lívia Silveira"/>
    <x v="2"/>
    <d v="2024-03-09T00:00:00"/>
    <s v="No"/>
    <n v="10"/>
    <x v="0"/>
    <s v="No"/>
    <x v="1"/>
    <s v="Yes"/>
    <n v="20"/>
    <n v="10"/>
    <n v="20"/>
  </r>
  <r>
    <n v="3244"/>
    <s v="Diogo Sousa"/>
    <x v="1"/>
    <d v="2024-03-10T00:00:00"/>
    <s v="Yes"/>
    <n v="5"/>
    <x v="2"/>
    <s v="No"/>
    <x v="1"/>
    <s v="No"/>
    <n v="0"/>
    <n v="0"/>
    <n v="5"/>
  </r>
  <r>
    <n v="3245"/>
    <s v="Fernanda Lima"/>
    <x v="0"/>
    <d v="2024-03-11T00:00:00"/>
    <s v="No"/>
    <n v="15"/>
    <x v="0"/>
    <s v="Yes"/>
    <x v="0"/>
    <s v="Yes"/>
    <n v="20"/>
    <n v="8"/>
    <n v="57"/>
  </r>
  <r>
    <n v="3246"/>
    <s v="Caio Pereira"/>
    <x v="2"/>
    <d v="2024-03-12T00:00:00"/>
    <s v="Yes"/>
    <n v="10"/>
    <x v="1"/>
    <s v="No"/>
    <x v="1"/>
    <s v="Yes"/>
    <n v="20"/>
    <n v="12"/>
    <n v="18"/>
  </r>
  <r>
    <n v="3247"/>
    <s v="Beatriz Gomes"/>
    <x v="1"/>
    <d v="2024-03-13T00:00:00"/>
    <s v="No"/>
    <n v="5"/>
    <x v="0"/>
    <s v="No"/>
    <x v="1"/>
    <s v="No"/>
    <n v="0"/>
    <n v="2"/>
    <n v="3"/>
  </r>
  <r>
    <n v="3248"/>
    <s v="Cesar Oliveira"/>
    <x v="0"/>
    <d v="2024-03-14T00:00:00"/>
    <s v="Yes"/>
    <n v="15"/>
    <x v="2"/>
    <s v="Yes"/>
    <x v="0"/>
    <s v="Yes"/>
    <n v="20"/>
    <n v="7"/>
    <n v="58"/>
  </r>
  <r>
    <n v="3249"/>
    <s v="Débora Machado"/>
    <x v="2"/>
    <d v="2024-03-15T00:00:00"/>
    <s v="No"/>
    <n v="10"/>
    <x v="0"/>
    <s v="No"/>
    <x v="1"/>
    <s v="Yes"/>
    <n v="20"/>
    <n v="5"/>
    <n v="25"/>
  </r>
  <r>
    <n v="3250"/>
    <s v="Eduardo Vargas"/>
    <x v="1"/>
    <d v="2024-03-16T00:00:00"/>
    <s v="Yes"/>
    <n v="5"/>
    <x v="1"/>
    <s v="No"/>
    <x v="1"/>
    <s v="No"/>
    <n v="0"/>
    <n v="0"/>
    <n v="5"/>
  </r>
  <r>
    <n v="3251"/>
    <s v="Gabriela Santos"/>
    <x v="0"/>
    <d v="2024-03-17T00:00:00"/>
    <s v="No"/>
    <n v="15"/>
    <x v="0"/>
    <s v="Yes"/>
    <x v="0"/>
    <s v="Yes"/>
    <n v="20"/>
    <n v="3"/>
    <n v="62"/>
  </r>
  <r>
    <n v="3252"/>
    <s v="Henrique Dias"/>
    <x v="2"/>
    <d v="2024-03-18T00:00:00"/>
    <s v="Yes"/>
    <n v="10"/>
    <x v="2"/>
    <s v="No"/>
    <x v="1"/>
    <s v="Yes"/>
    <n v="20"/>
    <n v="15"/>
    <n v="15"/>
  </r>
  <r>
    <n v="3253"/>
    <s v="Isabela Moreira"/>
    <x v="1"/>
    <d v="2024-03-19T00:00:00"/>
    <s v="No"/>
    <n v="5"/>
    <x v="0"/>
    <s v="No"/>
    <x v="1"/>
    <s v="No"/>
    <n v="0"/>
    <n v="1"/>
    <n v="4"/>
  </r>
  <r>
    <n v="3254"/>
    <s v="Joaquim Barbosa"/>
    <x v="0"/>
    <d v="2024-03-20T00:00:00"/>
    <s v="Yes"/>
    <n v="15"/>
    <x v="1"/>
    <s v="Yes"/>
    <x v="0"/>
    <s v="Yes"/>
    <n v="20"/>
    <n v="20"/>
    <n v="45"/>
  </r>
  <r>
    <n v="3255"/>
    <s v="Lara Rocha"/>
    <x v="2"/>
    <d v="2024-03-21T00:00:00"/>
    <s v="No"/>
    <n v="10"/>
    <x v="0"/>
    <s v="No"/>
    <x v="1"/>
    <s v="Yes"/>
    <n v="20"/>
    <n v="10"/>
    <n v="20"/>
  </r>
  <r>
    <n v="3256"/>
    <s v="Matheus Silva"/>
    <x v="1"/>
    <d v="2024-03-22T00:00:00"/>
    <s v="Yes"/>
    <n v="5"/>
    <x v="2"/>
    <s v="No"/>
    <x v="1"/>
    <s v="No"/>
    <n v="0"/>
    <n v="0"/>
    <n v="5"/>
  </r>
  <r>
    <n v="3257"/>
    <s v="Nicole Costa"/>
    <x v="0"/>
    <d v="2024-03-23T00:00:00"/>
    <s v="No"/>
    <n v="15"/>
    <x v="0"/>
    <s v="Yes"/>
    <x v="0"/>
    <s v="Yes"/>
    <n v="20"/>
    <n v="5"/>
    <n v="60"/>
  </r>
  <r>
    <n v="3258"/>
    <s v="Otávio Mendonça"/>
    <x v="2"/>
    <d v="2024-03-24T00:00:00"/>
    <s v="Yes"/>
    <n v="10"/>
    <x v="1"/>
    <s v="No"/>
    <x v="1"/>
    <s v="Yes"/>
    <n v="20"/>
    <n v="15"/>
    <n v="15"/>
  </r>
  <r>
    <n v="3259"/>
    <s v="Paula Ferreira"/>
    <x v="1"/>
    <d v="2024-03-25T00:00:00"/>
    <s v="No"/>
    <n v="5"/>
    <x v="0"/>
    <s v="No"/>
    <x v="1"/>
    <s v="No"/>
    <n v="0"/>
    <n v="1"/>
    <n v="4"/>
  </r>
  <r>
    <n v="3260"/>
    <s v="Raquel Alves"/>
    <x v="0"/>
    <d v="2024-03-26T00:00:00"/>
    <s v="Yes"/>
    <n v="15"/>
    <x v="2"/>
    <s v="Yes"/>
    <x v="0"/>
    <s v="Yes"/>
    <n v="20"/>
    <n v="7"/>
    <n v="58"/>
  </r>
  <r>
    <n v="3261"/>
    <s v="Samuel Pires"/>
    <x v="2"/>
    <d v="2024-03-27T00:00:00"/>
    <s v="No"/>
    <n v="10"/>
    <x v="0"/>
    <s v="No"/>
    <x v="1"/>
    <s v="Yes"/>
    <n v="20"/>
    <n v="10"/>
    <n v="20"/>
  </r>
  <r>
    <n v="3262"/>
    <s v="Tânia Barros"/>
    <x v="1"/>
    <d v="2024-03-28T00:00:00"/>
    <s v="Yes"/>
    <n v="5"/>
    <x v="1"/>
    <s v="No"/>
    <x v="1"/>
    <s v="No"/>
    <n v="0"/>
    <n v="0"/>
    <n v="5"/>
  </r>
  <r>
    <n v="3263"/>
    <s v="Vinicius Lima"/>
    <x v="0"/>
    <d v="2024-03-29T00:00:00"/>
    <s v="No"/>
    <n v="15"/>
    <x v="0"/>
    <s v="Yes"/>
    <x v="0"/>
    <s v="Yes"/>
    <n v="20"/>
    <n v="3"/>
    <n v="62"/>
  </r>
  <r>
    <n v="3264"/>
    <s v="Yasmin Teixeira"/>
    <x v="2"/>
    <d v="2024-03-30T00:00:00"/>
    <s v="Yes"/>
    <n v="10"/>
    <x v="2"/>
    <s v="No"/>
    <x v="1"/>
    <s v="Yes"/>
    <n v="20"/>
    <n v="15"/>
    <n v="15"/>
  </r>
  <r>
    <n v="3265"/>
    <s v="Zé Carlos"/>
    <x v="1"/>
    <d v="2024-03-31T00:00:00"/>
    <s v="No"/>
    <n v="5"/>
    <x v="0"/>
    <s v="No"/>
    <x v="1"/>
    <s v="No"/>
    <n v="0"/>
    <n v="1"/>
    <n v="4"/>
  </r>
  <r>
    <n v="3266"/>
    <s v="Amanda Nogueira"/>
    <x v="1"/>
    <d v="2024-04-01T00:00:00"/>
    <s v="Yes"/>
    <n v="5"/>
    <x v="0"/>
    <s v="No"/>
    <x v="1"/>
    <s v="No"/>
    <n v="0"/>
    <n v="0"/>
    <n v="5"/>
  </r>
  <r>
    <n v="3267"/>
    <s v="Bruno Cavalheiro"/>
    <x v="0"/>
    <d v="2024-04-02T00:00:00"/>
    <s v="No"/>
    <n v="15"/>
    <x v="2"/>
    <s v="Yes"/>
    <x v="0"/>
    <s v="Yes"/>
    <n v="20"/>
    <n v="7"/>
    <n v="58"/>
  </r>
  <r>
    <n v="3268"/>
    <s v="Carla Dias"/>
    <x v="2"/>
    <d v="2024-04-03T00:00:00"/>
    <s v="Yes"/>
    <n v="10"/>
    <x v="1"/>
    <s v="No"/>
    <x v="1"/>
    <s v="Yes"/>
    <n v="20"/>
    <n v="10"/>
    <n v="20"/>
  </r>
  <r>
    <n v="3269"/>
    <s v="Diego Fontes"/>
    <x v="1"/>
    <d v="2024-04-04T00:00:00"/>
    <s v="No"/>
    <n v="5"/>
    <x v="2"/>
    <s v="No"/>
    <x v="1"/>
    <s v="No"/>
    <n v="0"/>
    <n v="1"/>
    <n v="4"/>
  </r>
  <r>
    <n v="3270"/>
    <s v="Eunice Lima"/>
    <x v="0"/>
    <d v="2024-04-05T00:00:00"/>
    <s v="Yes"/>
    <n v="15"/>
    <x v="0"/>
    <s v="Yes"/>
    <x v="0"/>
    <s v="Yes"/>
    <n v="20"/>
    <n v="15"/>
    <n v="50"/>
  </r>
  <r>
    <n v="3271"/>
    <s v="Fábio Martins"/>
    <x v="2"/>
    <d v="2024-04-06T00:00:00"/>
    <s v="No"/>
    <n v="10"/>
    <x v="0"/>
    <s v="No"/>
    <x v="1"/>
    <s v="Yes"/>
    <n v="20"/>
    <n v="5"/>
    <n v="25"/>
  </r>
  <r>
    <n v="3272"/>
    <s v="Gisele Araújo"/>
    <x v="1"/>
    <d v="2024-04-07T00:00:00"/>
    <s v="Yes"/>
    <n v="5"/>
    <x v="1"/>
    <s v="No"/>
    <x v="1"/>
    <s v="No"/>
    <n v="0"/>
    <n v="0"/>
    <n v="5"/>
  </r>
  <r>
    <n v="3273"/>
    <s v="Hélio Castro"/>
    <x v="0"/>
    <d v="2024-04-08T00:00:00"/>
    <s v="No"/>
    <n v="15"/>
    <x v="2"/>
    <s v="Yes"/>
    <x v="0"/>
    <s v="Yes"/>
    <n v="20"/>
    <n v="20"/>
    <n v="45"/>
  </r>
  <r>
    <n v="3274"/>
    <s v="Ingrid Menezes"/>
    <x v="2"/>
    <d v="2024-04-09T00:00:00"/>
    <s v="Yes"/>
    <n v="10"/>
    <x v="2"/>
    <s v="No"/>
    <x v="1"/>
    <s v="Yes"/>
    <n v="20"/>
    <n v="12"/>
    <n v="18"/>
  </r>
  <r>
    <n v="3275"/>
    <s v="Jorge Baptista"/>
    <x v="1"/>
    <d v="2024-04-10T00:00:00"/>
    <s v="No"/>
    <n v="5"/>
    <x v="0"/>
    <s v="No"/>
    <x v="1"/>
    <s v="No"/>
    <n v="0"/>
    <n v="2"/>
    <n v="3"/>
  </r>
  <r>
    <n v="3276"/>
    <s v="Kléber Oliveira"/>
    <x v="0"/>
    <d v="2024-04-11T00:00:00"/>
    <s v="Yes"/>
    <n v="15"/>
    <x v="1"/>
    <s v="Yes"/>
    <x v="0"/>
    <s v="Yes"/>
    <n v="20"/>
    <n v="5"/>
    <n v="60"/>
  </r>
  <r>
    <n v="3277"/>
    <s v="Luciana Freitas"/>
    <x v="2"/>
    <d v="2024-04-12T00:00:00"/>
    <s v="No"/>
    <n v="10"/>
    <x v="0"/>
    <s v="No"/>
    <x v="1"/>
    <s v="Yes"/>
    <n v="20"/>
    <n v="10"/>
    <n v="20"/>
  </r>
  <r>
    <n v="3278"/>
    <s v="Márcia Eller"/>
    <x v="1"/>
    <d v="2024-04-13T00:00:00"/>
    <s v="Yes"/>
    <n v="5"/>
    <x v="2"/>
    <s v="No"/>
    <x v="1"/>
    <s v="No"/>
    <n v="0"/>
    <n v="0"/>
    <n v="5"/>
  </r>
  <r>
    <n v="3279"/>
    <s v="Nilo Peçanha"/>
    <x v="0"/>
    <d v="2024-04-14T00:00:00"/>
    <s v="No"/>
    <n v="15"/>
    <x v="0"/>
    <s v="Yes"/>
    <x v="0"/>
    <s v="Yes"/>
    <n v="20"/>
    <n v="3"/>
    <n v="62"/>
  </r>
  <r>
    <n v="3280"/>
    <s v="Oscar Neves"/>
    <x v="2"/>
    <d v="2024-04-15T00:00:00"/>
    <s v="Yes"/>
    <n v="10"/>
    <x v="1"/>
    <s v="No"/>
    <x v="1"/>
    <s v="Yes"/>
    <n v="20"/>
    <n v="15"/>
    <n v="15"/>
  </r>
  <r>
    <n v="3281"/>
    <s v="Patrícia Soares"/>
    <x v="1"/>
    <d v="2024-04-16T00:00:00"/>
    <s v="No"/>
    <n v="5"/>
    <x v="0"/>
    <s v="No"/>
    <x v="1"/>
    <s v="No"/>
    <n v="0"/>
    <n v="1"/>
    <n v="4"/>
  </r>
  <r>
    <n v="3282"/>
    <s v="Quirino Gonçalves"/>
    <x v="0"/>
    <d v="2024-04-17T00:00:00"/>
    <s v="Yes"/>
    <n v="15"/>
    <x v="2"/>
    <s v="Yes"/>
    <x v="0"/>
    <s v="Yes"/>
    <n v="20"/>
    <n v="7"/>
    <n v="58"/>
  </r>
  <r>
    <n v="3283"/>
    <s v="Raul Machado"/>
    <x v="2"/>
    <d v="2024-04-18T00:00:00"/>
    <s v="No"/>
    <n v="10"/>
    <x v="0"/>
    <s v="No"/>
    <x v="1"/>
    <s v="Yes"/>
    <n v="20"/>
    <n v="10"/>
    <n v="20"/>
  </r>
  <r>
    <n v="3284"/>
    <s v="Sônia Lobo"/>
    <x v="1"/>
    <d v="2024-04-19T00:00:00"/>
    <s v="Yes"/>
    <n v="5"/>
    <x v="1"/>
    <s v="No"/>
    <x v="1"/>
    <s v="No"/>
    <n v="0"/>
    <n v="0"/>
    <n v="5"/>
  </r>
  <r>
    <n v="3285"/>
    <s v="Tiago Ramos"/>
    <x v="0"/>
    <d v="2024-04-20T00:00:00"/>
    <s v="No"/>
    <n v="15"/>
    <x v="0"/>
    <s v="Yes"/>
    <x v="0"/>
    <s v="Yes"/>
    <n v="20"/>
    <n v="20"/>
    <n v="45"/>
  </r>
  <r>
    <n v="3286"/>
    <s v="Ugo Pires"/>
    <x v="2"/>
    <d v="2024-04-21T00:00:00"/>
    <s v="Yes"/>
    <n v="10"/>
    <x v="2"/>
    <s v="No"/>
    <x v="1"/>
    <s v="Yes"/>
    <n v="20"/>
    <n v="15"/>
    <n v="15"/>
  </r>
  <r>
    <n v="3287"/>
    <s v="Valéria Nobre"/>
    <x v="1"/>
    <d v="2024-04-22T00:00:00"/>
    <s v="No"/>
    <n v="5"/>
    <x v="0"/>
    <s v="No"/>
    <x v="1"/>
    <s v="No"/>
    <n v="0"/>
    <n v="1"/>
    <n v="4"/>
  </r>
  <r>
    <n v="3288"/>
    <s v="William Siqueira"/>
    <x v="0"/>
    <d v="2024-04-23T00:00:00"/>
    <s v="Yes"/>
    <n v="15"/>
    <x v="1"/>
    <s v="Yes"/>
    <x v="0"/>
    <s v="Yes"/>
    <n v="20"/>
    <n v="3"/>
    <n v="62"/>
  </r>
  <r>
    <n v="3289"/>
    <s v="Xuxa Meneghel"/>
    <x v="2"/>
    <d v="2024-04-24T00:00:00"/>
    <s v="No"/>
    <n v="10"/>
    <x v="0"/>
    <s v="No"/>
    <x v="1"/>
    <s v="Yes"/>
    <n v="20"/>
    <n v="10"/>
    <n v="20"/>
  </r>
  <r>
    <n v="3290"/>
    <s v="Yara Figueiredo"/>
    <x v="1"/>
    <d v="2024-04-25T00:00:00"/>
    <s v="Yes"/>
    <n v="5"/>
    <x v="2"/>
    <s v="No"/>
    <x v="1"/>
    <s v="No"/>
    <n v="0"/>
    <n v="0"/>
    <n v="5"/>
  </r>
  <r>
    <n v="3291"/>
    <s v="Zacarias Alves"/>
    <x v="0"/>
    <d v="2024-04-26T00:00:00"/>
    <s v="No"/>
    <n v="15"/>
    <x v="0"/>
    <s v="Yes"/>
    <x v="0"/>
    <s v="Yes"/>
    <n v="20"/>
    <n v="5"/>
    <n v="60"/>
  </r>
  <r>
    <n v="3292"/>
    <s v="Amanda Bynes"/>
    <x v="2"/>
    <d v="2024-04-27T00:00:00"/>
    <s v="Yes"/>
    <n v="10"/>
    <x v="1"/>
    <s v="No"/>
    <x v="1"/>
    <s v="Yes"/>
    <n v="20"/>
    <n v="15"/>
    <n v="15"/>
  </r>
  <r>
    <n v="3293"/>
    <s v="Bruno Mars"/>
    <x v="1"/>
    <d v="2024-04-28T00:00:00"/>
    <s v="No"/>
    <n v="5"/>
    <x v="0"/>
    <s v="No"/>
    <x v="1"/>
    <s v="No"/>
    <n v="0"/>
    <n v="1"/>
    <n v="4"/>
  </r>
  <r>
    <n v="3294"/>
    <s v="Carla Bruni"/>
    <x v="0"/>
    <d v="2024-04-29T00:00:00"/>
    <s v="Yes"/>
    <n v="15"/>
    <x v="2"/>
    <s v="Yes"/>
    <x v="0"/>
    <s v="Yes"/>
    <n v="20"/>
    <n v="20"/>
    <n v="45"/>
  </r>
  <r>
    <n v="3295"/>
    <s v="Diego Maradona"/>
    <x v="2"/>
    <d v="2024-04-30T00:00:00"/>
    <s v="No"/>
    <n v="10"/>
    <x v="0"/>
    <s v="No"/>
    <x v="1"/>
    <s v="Yes"/>
    <n v="20"/>
    <n v="5"/>
    <n v="25"/>
  </r>
  <r>
    <n v="3296"/>
    <s v="Estela Marques"/>
    <x v="1"/>
    <d v="2024-05-01T00:00:00"/>
    <s v="No"/>
    <n v="5"/>
    <x v="0"/>
    <s v="No"/>
    <x v="1"/>
    <s v="No"/>
    <n v="0"/>
    <n v="0"/>
    <n v="5"/>
  </r>
  <r>
    <n v="3297"/>
    <s v="Fábio Nobre"/>
    <x v="0"/>
    <d v="2024-05-02T00:00:00"/>
    <s v="Yes"/>
    <n v="15"/>
    <x v="2"/>
    <s v="Yes"/>
    <x v="0"/>
    <s v="Yes"/>
    <n v="20"/>
    <n v="7"/>
    <n v="58"/>
  </r>
  <r>
    <n v="3298"/>
    <s v="Gabriel Oliveira"/>
    <x v="2"/>
    <d v="2024-05-03T00:00:00"/>
    <s v="No"/>
    <n v="10"/>
    <x v="1"/>
    <s v="No"/>
    <x v="1"/>
    <s v="Yes"/>
    <n v="20"/>
    <n v="10"/>
    <n v="20"/>
  </r>
  <r>
    <n v="3299"/>
    <s v="Helena Santos"/>
    <x v="1"/>
    <d v="2024-05-04T00:00:00"/>
    <s v="Yes"/>
    <n v="5"/>
    <x v="2"/>
    <s v="No"/>
    <x v="1"/>
    <s v="No"/>
    <n v="0"/>
    <n v="1"/>
    <n v="4"/>
  </r>
  <r>
    <n v="3300"/>
    <s v="Ivan Carvalho"/>
    <x v="0"/>
    <d v="2024-05-05T00:00:00"/>
    <s v="No"/>
    <n v="15"/>
    <x v="0"/>
    <s v="Yes"/>
    <x v="0"/>
    <s v="Yes"/>
    <n v="20"/>
    <n v="15"/>
    <n v="50"/>
  </r>
  <r>
    <n v="3301"/>
    <s v="Júlia Ferreira"/>
    <x v="2"/>
    <d v="2024-05-06T00:00:00"/>
    <s v="Yes"/>
    <n v="10"/>
    <x v="0"/>
    <s v="No"/>
    <x v="1"/>
    <s v="Yes"/>
    <n v="20"/>
    <n v="5"/>
    <n v="25"/>
  </r>
  <r>
    <n v="3302"/>
    <s v="Karla Alves"/>
    <x v="1"/>
    <d v="2024-05-07T00:00:00"/>
    <s v="No"/>
    <n v="5"/>
    <x v="1"/>
    <s v="No"/>
    <x v="1"/>
    <s v="No"/>
    <n v="0"/>
    <n v="0"/>
    <n v="5"/>
  </r>
  <r>
    <n v="3303"/>
    <s v="Lucas Mendes"/>
    <x v="0"/>
    <d v="2024-05-08T00:00:00"/>
    <s v="Yes"/>
    <n v="15"/>
    <x v="2"/>
    <s v="Yes"/>
    <x v="0"/>
    <s v="Yes"/>
    <n v="20"/>
    <n v="20"/>
    <n v="45"/>
  </r>
  <r>
    <n v="3304"/>
    <s v="Mônica Gomes"/>
    <x v="2"/>
    <d v="2024-05-09T00:00:00"/>
    <s v="No"/>
    <n v="10"/>
    <x v="2"/>
    <s v="No"/>
    <x v="1"/>
    <s v="Yes"/>
    <n v="20"/>
    <n v="12"/>
    <n v="18"/>
  </r>
  <r>
    <n v="3305"/>
    <s v="Norberto Queiroz"/>
    <x v="1"/>
    <d v="2024-05-10T00:00:00"/>
    <s v="Yes"/>
    <n v="5"/>
    <x v="0"/>
    <s v="No"/>
    <x v="1"/>
    <s v="No"/>
    <n v="0"/>
    <n v="2"/>
    <n v="3"/>
  </r>
  <r>
    <n v="3306"/>
    <s v="Otávio Barros"/>
    <x v="0"/>
    <d v="2024-05-11T00:00:00"/>
    <s v="No"/>
    <n v="15"/>
    <x v="1"/>
    <s v="Yes"/>
    <x v="0"/>
    <s v="Yes"/>
    <n v="20"/>
    <n v="5"/>
    <n v="60"/>
  </r>
  <r>
    <n v="3307"/>
    <s v="Paula Vieira"/>
    <x v="2"/>
    <d v="2024-05-12T00:00:00"/>
    <s v="Yes"/>
    <n v="10"/>
    <x v="0"/>
    <s v="No"/>
    <x v="1"/>
    <s v="Yes"/>
    <n v="20"/>
    <n v="10"/>
    <n v="20"/>
  </r>
  <r>
    <n v="3308"/>
    <s v="Quentin Ramos"/>
    <x v="1"/>
    <d v="2024-05-13T00:00:00"/>
    <s v="No"/>
    <n v="5"/>
    <x v="2"/>
    <s v="No"/>
    <x v="1"/>
    <s v="No"/>
    <n v="0"/>
    <n v="0"/>
    <n v="5"/>
  </r>
  <r>
    <n v="3309"/>
    <s v="Raquel Novaes"/>
    <x v="0"/>
    <d v="2024-05-14T00:00:00"/>
    <s v="Yes"/>
    <n v="15"/>
    <x v="0"/>
    <s v="Yes"/>
    <x v="0"/>
    <s v="Yes"/>
    <n v="20"/>
    <n v="3"/>
    <n v="62"/>
  </r>
  <r>
    <n v="3310"/>
    <s v="Samantha Lopes"/>
    <x v="2"/>
    <d v="2024-05-15T00:00:00"/>
    <s v="No"/>
    <n v="10"/>
    <x v="1"/>
    <s v="No"/>
    <x v="1"/>
    <s v="Yes"/>
    <n v="20"/>
    <n v="15"/>
    <n v="15"/>
  </r>
  <r>
    <n v="3311"/>
    <s v="Tiago Martins"/>
    <x v="1"/>
    <d v="2024-05-16T00:00:00"/>
    <s v="Yes"/>
    <n v="5"/>
    <x v="0"/>
    <s v="No"/>
    <x v="1"/>
    <s v="No"/>
    <n v="0"/>
    <n v="1"/>
    <n v="4"/>
  </r>
  <r>
    <n v="3312"/>
    <s v="Ulysses Guimarães"/>
    <x v="0"/>
    <d v="2024-05-17T00:00:00"/>
    <s v="No"/>
    <n v="15"/>
    <x v="2"/>
    <s v="Yes"/>
    <x v="0"/>
    <s v="Yes"/>
    <n v="20"/>
    <n v="7"/>
    <n v="58"/>
  </r>
  <r>
    <n v="3313"/>
    <s v="Vanessa Silva"/>
    <x v="2"/>
    <d v="2024-05-18T00:00:00"/>
    <s v="Yes"/>
    <n v="10"/>
    <x v="0"/>
    <s v="No"/>
    <x v="1"/>
    <s v="Yes"/>
    <n v="20"/>
    <n v="10"/>
    <n v="20"/>
  </r>
  <r>
    <n v="3314"/>
    <s v="William Carneiro"/>
    <x v="1"/>
    <d v="2024-05-19T00:00:00"/>
    <s v="No"/>
    <n v="5"/>
    <x v="1"/>
    <s v="No"/>
    <x v="1"/>
    <s v="No"/>
    <n v="0"/>
    <n v="0"/>
    <n v="5"/>
  </r>
  <r>
    <n v="3315"/>
    <s v="Ximena Rocha"/>
    <x v="0"/>
    <d v="2024-05-20T00:00:00"/>
    <s v="Yes"/>
    <n v="15"/>
    <x v="0"/>
    <s v="Yes"/>
    <x v="0"/>
    <s v="Yes"/>
    <n v="20"/>
    <n v="20"/>
    <n v="45"/>
  </r>
  <r>
    <n v="3316"/>
    <s v="Yasmin Figueiredo"/>
    <x v="2"/>
    <d v="2024-05-21T00:00:00"/>
    <s v="No"/>
    <n v="10"/>
    <x v="2"/>
    <s v="No"/>
    <x v="1"/>
    <s v="Yes"/>
    <n v="20"/>
    <n v="15"/>
    <n v="15"/>
  </r>
  <r>
    <n v="3317"/>
    <s v="Zara Cunha"/>
    <x v="1"/>
    <d v="2024-05-22T00:00:00"/>
    <s v="Yes"/>
    <n v="5"/>
    <x v="0"/>
    <s v="No"/>
    <x v="1"/>
    <s v="No"/>
    <n v="0"/>
    <n v="1"/>
    <n v="4"/>
  </r>
  <r>
    <n v="3318"/>
    <s v="Alan Teixeira"/>
    <x v="0"/>
    <d v="2024-05-23T00:00:00"/>
    <s v="No"/>
    <n v="15"/>
    <x v="1"/>
    <s v="Yes"/>
    <x v="0"/>
    <s v="Yes"/>
    <n v="20"/>
    <n v="3"/>
    <n v="62"/>
  </r>
  <r>
    <n v="3319"/>
    <s v="Bárbara Oliveira"/>
    <x v="2"/>
    <d v="2024-05-24T00:00:00"/>
    <s v="Yes"/>
    <n v="10"/>
    <x v="0"/>
    <s v="No"/>
    <x v="1"/>
    <s v="Yes"/>
    <n v="20"/>
    <n v="10"/>
    <n v="20"/>
  </r>
  <r>
    <n v="3320"/>
    <s v="Carlos Junqueira"/>
    <x v="1"/>
    <d v="2024-05-25T00:00:00"/>
    <s v="No"/>
    <n v="5"/>
    <x v="2"/>
    <s v="No"/>
    <x v="1"/>
    <s v="No"/>
    <n v="0"/>
    <n v="0"/>
    <n v="5"/>
  </r>
  <r>
    <n v="3321"/>
    <s v="Daniela Moura"/>
    <x v="0"/>
    <d v="2024-05-26T00:00:00"/>
    <s v="Yes"/>
    <n v="15"/>
    <x v="0"/>
    <s v="Yes"/>
    <x v="0"/>
    <s v="Yes"/>
    <n v="20"/>
    <n v="5"/>
    <n v="60"/>
  </r>
  <r>
    <n v="3322"/>
    <s v="Eduardo Lima"/>
    <x v="2"/>
    <d v="2024-05-27T00:00:00"/>
    <s v="No"/>
    <n v="10"/>
    <x v="1"/>
    <s v="No"/>
    <x v="1"/>
    <s v="Yes"/>
    <n v="20"/>
    <n v="15"/>
    <n v="15"/>
  </r>
  <r>
    <n v="3323"/>
    <s v="Fabiana Araújo"/>
    <x v="1"/>
    <d v="2024-05-28T00:00:00"/>
    <s v="Yes"/>
    <n v="5"/>
    <x v="0"/>
    <s v="No"/>
    <x v="1"/>
    <s v="No"/>
    <n v="0"/>
    <n v="1"/>
    <n v="4"/>
  </r>
  <r>
    <n v="3324"/>
    <s v="Geraldo Ribeiro"/>
    <x v="0"/>
    <d v="2024-05-29T00:00:00"/>
    <s v="No"/>
    <n v="15"/>
    <x v="2"/>
    <s v="Yes"/>
    <x v="0"/>
    <s v="Yes"/>
    <n v="20"/>
    <n v="20"/>
    <n v="45"/>
  </r>
  <r>
    <n v="3325"/>
    <s v="Héctor Vargas"/>
    <x v="2"/>
    <d v="2024-05-30T00:00:00"/>
    <s v="Yes"/>
    <n v="10"/>
    <x v="2"/>
    <s v="No"/>
    <x v="1"/>
    <s v="Yes"/>
    <n v="20"/>
    <n v="15"/>
    <n v="15"/>
  </r>
  <r>
    <n v="3326"/>
    <s v="Isabela Fonseca"/>
    <x v="1"/>
    <d v="2024-05-31T00:00:00"/>
    <s v="No"/>
    <n v="5"/>
    <x v="1"/>
    <s v="No"/>
    <x v="1"/>
    <s v="No"/>
    <n v="0"/>
    <n v="0"/>
    <n v="5"/>
  </r>
  <r>
    <n v="3327"/>
    <s v="João Pedro Almeida"/>
    <x v="0"/>
    <d v="2024-06-01T00:00:00"/>
    <s v="Yes"/>
    <n v="15"/>
    <x v="0"/>
    <s v="Yes"/>
    <x v="0"/>
    <s v="Yes"/>
    <n v="20"/>
    <n v="7"/>
    <n v="58"/>
  </r>
  <r>
    <n v="3328"/>
    <s v="Klara Costa"/>
    <x v="2"/>
    <d v="2024-06-02T00:00:00"/>
    <s v="No"/>
    <n v="10"/>
    <x v="1"/>
    <s v="No"/>
    <x v="1"/>
    <s v="Yes"/>
    <n v="20"/>
    <n v="10"/>
    <n v="20"/>
  </r>
  <r>
    <n v="3329"/>
    <s v="Luciana Mendes"/>
    <x v="1"/>
    <d v="2024-06-03T00:00:00"/>
    <s v="Yes"/>
    <n v="5"/>
    <x v="2"/>
    <s v="No"/>
    <x v="1"/>
    <s v="No"/>
    <n v="0"/>
    <n v="1"/>
    <n v="4"/>
  </r>
  <r>
    <n v="3330"/>
    <s v="Marcelo Gouveia"/>
    <x v="0"/>
    <d v="2024-06-04T00:00:00"/>
    <s v="No"/>
    <n v="15"/>
    <x v="0"/>
    <s v="Yes"/>
    <x v="0"/>
    <s v="Yes"/>
    <n v="20"/>
    <n v="15"/>
    <n v="50"/>
  </r>
  <r>
    <n v="3331"/>
    <s v="Nívea Borges"/>
    <x v="2"/>
    <d v="2024-06-05T00:00:00"/>
    <s v="Yes"/>
    <n v="10"/>
    <x v="0"/>
    <s v="No"/>
    <x v="1"/>
    <s v="Yes"/>
    <n v="20"/>
    <n v="5"/>
    <n v="25"/>
  </r>
  <r>
    <n v="3332"/>
    <s v="Oscar Nogueira"/>
    <x v="1"/>
    <d v="2024-06-06T00:00:00"/>
    <s v="No"/>
    <n v="5"/>
    <x v="1"/>
    <s v="No"/>
    <x v="1"/>
    <s v="No"/>
    <n v="0"/>
    <n v="0"/>
    <n v="5"/>
  </r>
  <r>
    <n v="3333"/>
    <s v="Patrícia Alves"/>
    <x v="0"/>
    <d v="2024-06-07T00:00:00"/>
    <s v="Yes"/>
    <n v="15"/>
    <x v="2"/>
    <s v="Yes"/>
    <x v="0"/>
    <s v="Yes"/>
    <n v="20"/>
    <n v="20"/>
    <n v="45"/>
  </r>
  <r>
    <n v="3334"/>
    <s v="Rafaela Silva"/>
    <x v="2"/>
    <d v="2024-06-08T00:00:00"/>
    <s v="No"/>
    <n v="10"/>
    <x v="2"/>
    <s v="No"/>
    <x v="1"/>
    <s v="Yes"/>
    <n v="20"/>
    <n v="12"/>
    <n v="18"/>
  </r>
  <r>
    <n v="3335"/>
    <s v="Samantha Moraes"/>
    <x v="1"/>
    <d v="2024-06-09T00:00:00"/>
    <s v="Yes"/>
    <n v="5"/>
    <x v="0"/>
    <s v="No"/>
    <x v="1"/>
    <s v="No"/>
    <n v="0"/>
    <n v="2"/>
    <n v="3"/>
  </r>
  <r>
    <n v="3336"/>
    <s v="Tatiana Rocha"/>
    <x v="1"/>
    <d v="2024-06-10T00:00:00"/>
    <s v="Yes"/>
    <n v="5"/>
    <x v="0"/>
    <s v="No"/>
    <x v="1"/>
    <s v="No"/>
    <n v="0"/>
    <n v="0"/>
    <n v="5"/>
  </r>
  <r>
    <n v="3337"/>
    <s v="Ulisses Tavares"/>
    <x v="0"/>
    <d v="2024-06-11T00:00:00"/>
    <s v="No"/>
    <n v="15"/>
    <x v="2"/>
    <s v="Yes"/>
    <x v="0"/>
    <s v="Yes"/>
    <n v="20"/>
    <n v="7"/>
    <n v="58"/>
  </r>
  <r>
    <n v="3338"/>
    <s v="Víctor Lemos"/>
    <x v="2"/>
    <d v="2024-06-12T00:00:00"/>
    <s v="Yes"/>
    <n v="10"/>
    <x v="1"/>
    <s v="No"/>
    <x v="1"/>
    <s v="Yes"/>
    <n v="20"/>
    <n v="10"/>
    <n v="20"/>
  </r>
  <r>
    <n v="3339"/>
    <s v="Wilma Barros"/>
    <x v="1"/>
    <d v="2024-06-13T00:00:00"/>
    <s v="No"/>
    <n v="5"/>
    <x v="2"/>
    <s v="No"/>
    <x v="1"/>
    <s v="No"/>
    <n v="0"/>
    <n v="1"/>
    <n v="4"/>
  </r>
  <r>
    <n v="3340"/>
    <s v="Xavier Nascimento"/>
    <x v="0"/>
    <d v="2024-06-14T00:00:00"/>
    <s v="Yes"/>
    <n v="15"/>
    <x v="0"/>
    <s v="Yes"/>
    <x v="0"/>
    <s v="Yes"/>
    <n v="20"/>
    <n v="15"/>
    <n v="50"/>
  </r>
  <r>
    <n v="3341"/>
    <s v="Yago Pereira"/>
    <x v="2"/>
    <d v="2024-06-15T00:00:00"/>
    <s v="No"/>
    <n v="10"/>
    <x v="0"/>
    <s v="No"/>
    <x v="1"/>
    <s v="Yes"/>
    <n v="20"/>
    <n v="5"/>
    <n v="25"/>
  </r>
  <r>
    <n v="3342"/>
    <s v="Zilda Ferreira"/>
    <x v="1"/>
    <d v="2024-06-16T00:00:00"/>
    <s v="Yes"/>
    <n v="5"/>
    <x v="1"/>
    <s v="No"/>
    <x v="1"/>
    <s v="No"/>
    <n v="0"/>
    <n v="0"/>
    <n v="5"/>
  </r>
  <r>
    <n v="3343"/>
    <s v="Amanda Lopes"/>
    <x v="0"/>
    <d v="2024-06-17T00:00:00"/>
    <s v="No"/>
    <n v="15"/>
    <x v="2"/>
    <s v="Yes"/>
    <x v="0"/>
    <s v="Yes"/>
    <n v="20"/>
    <n v="20"/>
    <n v="45"/>
  </r>
  <r>
    <n v="3344"/>
    <s v="Bruno Miranda"/>
    <x v="2"/>
    <d v="2024-06-18T00:00:00"/>
    <s v="Yes"/>
    <n v="10"/>
    <x v="2"/>
    <s v="No"/>
    <x v="1"/>
    <s v="Yes"/>
    <n v="20"/>
    <n v="12"/>
    <n v="18"/>
  </r>
  <r>
    <n v="3345"/>
    <s v="Célia Torres"/>
    <x v="1"/>
    <d v="2024-06-19T00:00:00"/>
    <s v="No"/>
    <n v="5"/>
    <x v="0"/>
    <s v="No"/>
    <x v="1"/>
    <s v="No"/>
    <n v="0"/>
    <n v="2"/>
    <n v="3"/>
  </r>
  <r>
    <n v="3346"/>
    <s v="Diogo Souza"/>
    <x v="0"/>
    <d v="2024-06-20T00:00:00"/>
    <s v="Yes"/>
    <n v="15"/>
    <x v="1"/>
    <s v="Yes"/>
    <x v="0"/>
    <s v="Yes"/>
    <n v="20"/>
    <n v="5"/>
    <n v="60"/>
  </r>
  <r>
    <n v="3347"/>
    <s v="Elisa Castro"/>
    <x v="2"/>
    <d v="2024-06-21T00:00:00"/>
    <s v="No"/>
    <n v="10"/>
    <x v="0"/>
    <s v="No"/>
    <x v="1"/>
    <s v="Yes"/>
    <n v="20"/>
    <n v="10"/>
    <n v="20"/>
  </r>
  <r>
    <n v="3348"/>
    <s v="Fátima Lima"/>
    <x v="1"/>
    <d v="2024-06-22T00:00:00"/>
    <s v="Yes"/>
    <n v="5"/>
    <x v="2"/>
    <s v="No"/>
    <x v="1"/>
    <s v="No"/>
    <n v="0"/>
    <n v="0"/>
    <n v="5"/>
  </r>
  <r>
    <n v="3349"/>
    <s v="Geraldo Ribeiro"/>
    <x v="0"/>
    <d v="2024-06-23T00:00:00"/>
    <s v="No"/>
    <n v="15"/>
    <x v="0"/>
    <s v="Yes"/>
    <x v="0"/>
    <s v="Yes"/>
    <n v="20"/>
    <n v="3"/>
    <n v="62"/>
  </r>
  <r>
    <n v="3350"/>
    <s v="Hélio Martins"/>
    <x v="2"/>
    <d v="2024-06-24T00:00:00"/>
    <s v="Yes"/>
    <n v="10"/>
    <x v="1"/>
    <s v="No"/>
    <x v="1"/>
    <s v="Yes"/>
    <n v="20"/>
    <n v="15"/>
    <n v="15"/>
  </r>
  <r>
    <n v="3351"/>
    <s v="Íris Santos"/>
    <x v="1"/>
    <d v="2024-06-25T00:00:00"/>
    <s v="No"/>
    <n v="5"/>
    <x v="0"/>
    <s v="No"/>
    <x v="1"/>
    <s v="No"/>
    <n v="0"/>
    <n v="1"/>
    <n v="4"/>
  </r>
  <r>
    <n v="3352"/>
    <s v="João Marcelo"/>
    <x v="0"/>
    <d v="2024-06-26T00:00:00"/>
    <s v="Yes"/>
    <n v="15"/>
    <x v="2"/>
    <s v="Yes"/>
    <x v="0"/>
    <s v="Yes"/>
    <n v="20"/>
    <n v="7"/>
    <n v="58"/>
  </r>
  <r>
    <n v="3353"/>
    <s v="Larissa Gomes"/>
    <x v="2"/>
    <d v="2024-06-27T00:00:00"/>
    <s v="No"/>
    <n v="10"/>
    <x v="0"/>
    <s v="No"/>
    <x v="1"/>
    <s v="Yes"/>
    <n v="20"/>
    <n v="10"/>
    <n v="20"/>
  </r>
  <r>
    <n v="3354"/>
    <s v="Márcio Silva"/>
    <x v="1"/>
    <d v="2024-06-28T00:00:00"/>
    <s v="Yes"/>
    <n v="5"/>
    <x v="1"/>
    <s v="No"/>
    <x v="1"/>
    <s v="No"/>
    <n v="0"/>
    <n v="0"/>
    <n v="5"/>
  </r>
  <r>
    <n v="3355"/>
    <s v="Nadia Costa"/>
    <x v="0"/>
    <d v="2024-06-29T00:00:00"/>
    <s v="No"/>
    <n v="15"/>
    <x v="0"/>
    <s v="Yes"/>
    <x v="0"/>
    <s v="Yes"/>
    <n v="20"/>
    <n v="20"/>
    <n v="45"/>
  </r>
  <r>
    <n v="3356"/>
    <s v="Oscar Almeida"/>
    <x v="2"/>
    <d v="2024-06-30T00:00:00"/>
    <s v="Yes"/>
    <n v="10"/>
    <x v="2"/>
    <s v="No"/>
    <x v="1"/>
    <s v="Yes"/>
    <n v="20"/>
    <n v="15"/>
    <n v="15"/>
  </r>
  <r>
    <n v="3357"/>
    <s v="Patricia Soares"/>
    <x v="1"/>
    <d v="2024-07-01T00:00:00"/>
    <s v="No"/>
    <n v="5"/>
    <x v="0"/>
    <s v="No"/>
    <x v="1"/>
    <s v="No"/>
    <n v="0"/>
    <n v="1"/>
    <n v="4"/>
  </r>
  <r>
    <n v="3358"/>
    <s v="Quênia Barros"/>
    <x v="0"/>
    <d v="2024-07-02T00:00:00"/>
    <s v="Yes"/>
    <n v="15"/>
    <x v="1"/>
    <s v="Yes"/>
    <x v="0"/>
    <s v="Yes"/>
    <n v="20"/>
    <n v="3"/>
    <n v="62"/>
  </r>
  <r>
    <n v="3359"/>
    <s v="Rafael Torres"/>
    <x v="2"/>
    <d v="2024-07-03T00:00:00"/>
    <s v="No"/>
    <n v="10"/>
    <x v="0"/>
    <s v="No"/>
    <x v="1"/>
    <s v="Yes"/>
    <n v="20"/>
    <n v="10"/>
    <n v="20"/>
  </r>
  <r>
    <n v="3360"/>
    <s v="Silvia Nascimento"/>
    <x v="1"/>
    <d v="2024-07-04T00:00:00"/>
    <s v="Yes"/>
    <n v="5"/>
    <x v="2"/>
    <s v="No"/>
    <x v="1"/>
    <s v="No"/>
    <n v="0"/>
    <n v="0"/>
    <n v="5"/>
  </r>
  <r>
    <n v="3361"/>
    <s v="Tiago Mendes"/>
    <x v="0"/>
    <d v="2024-07-05T00:00:00"/>
    <s v="No"/>
    <n v="15"/>
    <x v="0"/>
    <s v="Yes"/>
    <x v="0"/>
    <s v="Yes"/>
    <n v="20"/>
    <n v="15"/>
    <n v="50"/>
  </r>
  <r>
    <n v="3362"/>
    <s v="Ursula Silva"/>
    <x v="2"/>
    <d v="2024-07-06T00:00:00"/>
    <s v="Yes"/>
    <n v="10"/>
    <x v="1"/>
    <s v="No"/>
    <x v="1"/>
    <s v="Yes"/>
    <n v="20"/>
    <n v="15"/>
    <n v="15"/>
  </r>
  <r>
    <n v="3363"/>
    <s v="Vanessa Moraes"/>
    <x v="1"/>
    <d v="2024-07-07T00:00:00"/>
    <s v="No"/>
    <n v="5"/>
    <x v="0"/>
    <s v="No"/>
    <x v="1"/>
    <s v="No"/>
    <n v="0"/>
    <n v="1"/>
    <n v="4"/>
  </r>
  <r>
    <n v="3364"/>
    <s v="Waldir Junior"/>
    <x v="0"/>
    <d v="2024-07-08T00:00:00"/>
    <s v="Yes"/>
    <n v="15"/>
    <x v="2"/>
    <s v="Yes"/>
    <x v="0"/>
    <s v="Yes"/>
    <n v="20"/>
    <n v="7"/>
    <n v="58"/>
  </r>
  <r>
    <n v="3365"/>
    <s v="Xavier Lopes"/>
    <x v="2"/>
    <d v="2024-07-09T00:00:00"/>
    <s v="No"/>
    <n v="10"/>
    <x v="0"/>
    <s v="No"/>
    <x v="1"/>
    <s v="Yes"/>
    <n v="20"/>
    <n v="10"/>
    <n v="20"/>
  </r>
  <r>
    <n v="3366"/>
    <s v="Yolanda Freitas"/>
    <x v="1"/>
    <d v="2024-07-10T00:00:00"/>
    <s v="Yes"/>
    <n v="5"/>
    <x v="0"/>
    <s v="No"/>
    <x v="1"/>
    <s v="No"/>
    <n v="0"/>
    <n v="0"/>
    <n v="5"/>
  </r>
  <r>
    <n v="3367"/>
    <s v="Zacarias Nunes"/>
    <x v="0"/>
    <d v="2024-07-11T00:00:00"/>
    <s v="No"/>
    <n v="15"/>
    <x v="2"/>
    <s v="Yes"/>
    <x v="0"/>
    <s v="Yes"/>
    <n v="20"/>
    <n v="7"/>
    <n v="58"/>
  </r>
  <r>
    <n v="3368"/>
    <s v="Ana Clara Barreto"/>
    <x v="2"/>
    <d v="2024-07-12T00:00:00"/>
    <s v="Yes"/>
    <n v="10"/>
    <x v="1"/>
    <s v="No"/>
    <x v="1"/>
    <s v="Yes"/>
    <n v="20"/>
    <n v="10"/>
    <n v="20"/>
  </r>
  <r>
    <n v="3369"/>
    <s v="Bruno Henrique"/>
    <x v="1"/>
    <d v="2024-07-13T00:00:00"/>
    <s v="No"/>
    <n v="5"/>
    <x v="2"/>
    <s v="No"/>
    <x v="1"/>
    <s v="No"/>
    <n v="0"/>
    <n v="1"/>
    <n v="4"/>
  </r>
  <r>
    <n v="3370"/>
    <s v="Carlos Eduardo"/>
    <x v="0"/>
    <d v="2024-07-14T00:00:00"/>
    <s v="Yes"/>
    <n v="15"/>
    <x v="0"/>
    <s v="Yes"/>
    <x v="0"/>
    <s v="Yes"/>
    <n v="20"/>
    <n v="15"/>
    <n v="50"/>
  </r>
  <r>
    <n v="3371"/>
    <s v="Débora Lima"/>
    <x v="2"/>
    <d v="2024-07-15T00:00:00"/>
    <s v="No"/>
    <n v="10"/>
    <x v="0"/>
    <s v="No"/>
    <x v="1"/>
    <s v="Yes"/>
    <n v="20"/>
    <n v="5"/>
    <n v="25"/>
  </r>
  <r>
    <n v="3372"/>
    <s v="Elisa Neves"/>
    <x v="1"/>
    <d v="2024-07-16T00:00:00"/>
    <s v="Yes"/>
    <n v="5"/>
    <x v="1"/>
    <s v="No"/>
    <x v="1"/>
    <s v="No"/>
    <n v="0"/>
    <n v="0"/>
    <n v="5"/>
  </r>
  <r>
    <n v="3373"/>
    <s v="Fabiano Gomes"/>
    <x v="0"/>
    <d v="2024-07-17T00:00:00"/>
    <s v="No"/>
    <n v="15"/>
    <x v="2"/>
    <s v="Yes"/>
    <x v="0"/>
    <s v="Yes"/>
    <n v="20"/>
    <n v="20"/>
    <n v="45"/>
  </r>
  <r>
    <n v="3374"/>
    <s v="Gisele Oliveira"/>
    <x v="2"/>
    <d v="2024-07-18T00:00:00"/>
    <s v="Yes"/>
    <n v="10"/>
    <x v="2"/>
    <s v="No"/>
    <x v="1"/>
    <s v="Yes"/>
    <n v="20"/>
    <n v="12"/>
    <n v="18"/>
  </r>
  <r>
    <n v="3375"/>
    <s v="Héctor Silva"/>
    <x v="1"/>
    <d v="2024-07-19T00:00:00"/>
    <s v="No"/>
    <n v="5"/>
    <x v="0"/>
    <s v="No"/>
    <x v="1"/>
    <s v="No"/>
    <n v="0"/>
    <n v="2"/>
    <n v="3"/>
  </r>
  <r>
    <n v="3376"/>
    <s v="Igor Martins"/>
    <x v="0"/>
    <d v="2024-07-20T00:00:00"/>
    <s v="Yes"/>
    <n v="15"/>
    <x v="1"/>
    <s v="Yes"/>
    <x v="0"/>
    <s v="Yes"/>
    <n v="20"/>
    <n v="5"/>
    <n v="60"/>
  </r>
  <r>
    <n v="3377"/>
    <s v="Joana Figueiredo"/>
    <x v="2"/>
    <d v="2024-07-21T00:00:00"/>
    <s v="No"/>
    <n v="10"/>
    <x v="0"/>
    <s v="No"/>
    <x v="1"/>
    <s v="Yes"/>
    <n v="20"/>
    <n v="10"/>
    <n v="20"/>
  </r>
  <r>
    <n v="3378"/>
    <s v="Kleber Machado"/>
    <x v="1"/>
    <d v="2024-07-22T00:00:00"/>
    <s v="Yes"/>
    <n v="5"/>
    <x v="2"/>
    <s v="No"/>
    <x v="1"/>
    <s v="No"/>
    <n v="0"/>
    <n v="0"/>
    <n v="5"/>
  </r>
  <r>
    <n v="3379"/>
    <s v="Luciana Santos"/>
    <x v="0"/>
    <d v="2024-07-23T00:00:00"/>
    <s v="No"/>
    <n v="15"/>
    <x v="0"/>
    <s v="Yes"/>
    <x v="0"/>
    <s v="Yes"/>
    <n v="20"/>
    <n v="3"/>
    <n v="62"/>
  </r>
  <r>
    <n v="3380"/>
    <s v="Marcos Teixeira"/>
    <x v="2"/>
    <d v="2024-07-24T00:00:00"/>
    <s v="Yes"/>
    <n v="10"/>
    <x v="1"/>
    <s v="No"/>
    <x v="1"/>
    <s v="Yes"/>
    <n v="20"/>
    <n v="15"/>
    <n v="15"/>
  </r>
  <r>
    <n v="3381"/>
    <s v="Natalia Costa"/>
    <x v="1"/>
    <d v="2024-07-25T00:00:00"/>
    <s v="No"/>
    <n v="5"/>
    <x v="0"/>
    <s v="No"/>
    <x v="1"/>
    <s v="No"/>
    <n v="0"/>
    <n v="1"/>
    <n v="4"/>
  </r>
  <r>
    <n v="3382"/>
    <s v="Oscar Ribeiro"/>
    <x v="0"/>
    <d v="2024-07-26T00:00:00"/>
    <s v="Yes"/>
    <n v="15"/>
    <x v="2"/>
    <s v="Yes"/>
    <x v="0"/>
    <s v="Yes"/>
    <n v="20"/>
    <n v="7"/>
    <n v="58"/>
  </r>
  <r>
    <n v="3383"/>
    <s v="Patricia Almeida"/>
    <x v="2"/>
    <d v="2024-07-27T00:00:00"/>
    <s v="No"/>
    <n v="10"/>
    <x v="0"/>
    <s v="No"/>
    <x v="1"/>
    <s v="Yes"/>
    <n v="20"/>
    <n v="10"/>
    <n v="20"/>
  </r>
  <r>
    <n v="3384"/>
    <s v="Quirino Junior"/>
    <x v="1"/>
    <d v="2024-07-28T00:00:00"/>
    <s v="Yes"/>
    <n v="5"/>
    <x v="1"/>
    <s v="No"/>
    <x v="1"/>
    <s v="No"/>
    <n v="0"/>
    <n v="0"/>
    <n v="5"/>
  </r>
  <r>
    <n v="3385"/>
    <s v="Renata Machado"/>
    <x v="0"/>
    <d v="2024-07-29T00:00:00"/>
    <s v="No"/>
    <n v="15"/>
    <x v="0"/>
    <s v="Yes"/>
    <x v="0"/>
    <s v="Yes"/>
    <n v="20"/>
    <n v="20"/>
    <n v="45"/>
  </r>
  <r>
    <n v="3386"/>
    <s v="Sônia Alves"/>
    <x v="2"/>
    <d v="2024-07-30T00:00:00"/>
    <s v="Yes"/>
    <n v="10"/>
    <x v="2"/>
    <s v="No"/>
    <x v="1"/>
    <s v="Yes"/>
    <n v="20"/>
    <n v="15"/>
    <n v="15"/>
  </r>
  <r>
    <n v="3387"/>
    <s v="Tiago Nunes"/>
    <x v="1"/>
    <d v="2024-07-31T00:00:00"/>
    <s v="No"/>
    <n v="5"/>
    <x v="0"/>
    <s v="No"/>
    <x v="1"/>
    <s v="No"/>
    <n v="0"/>
    <n v="1"/>
    <n v="4"/>
  </r>
  <r>
    <n v="3388"/>
    <s v="Ulysses Pereira"/>
    <x v="0"/>
    <d v="2024-08-01T00:00:00"/>
    <s v="Yes"/>
    <n v="15"/>
    <x v="1"/>
    <s v="Yes"/>
    <x v="0"/>
    <s v="Yes"/>
    <n v="20"/>
    <n v="3"/>
    <n v="62"/>
  </r>
  <r>
    <n v="3389"/>
    <s v="Vanessa Lima"/>
    <x v="2"/>
    <d v="2024-08-02T00:00:00"/>
    <s v="No"/>
    <n v="10"/>
    <x v="0"/>
    <s v="No"/>
    <x v="1"/>
    <s v="Yes"/>
    <n v="20"/>
    <n v="10"/>
    <n v="20"/>
  </r>
  <r>
    <n v="3390"/>
    <s v="Wagner Santos"/>
    <x v="1"/>
    <d v="2024-08-03T00:00:00"/>
    <s v="Yes"/>
    <n v="5"/>
    <x v="2"/>
    <s v="No"/>
    <x v="1"/>
    <s v="No"/>
    <n v="0"/>
    <n v="0"/>
    <n v="5"/>
  </r>
  <r>
    <n v="3391"/>
    <s v="Xuxa Meneghel"/>
    <x v="0"/>
    <d v="2024-08-04T00:00:00"/>
    <s v="No"/>
    <n v="15"/>
    <x v="0"/>
    <s v="Yes"/>
    <x v="0"/>
    <s v="Yes"/>
    <n v="20"/>
    <n v="15"/>
    <n v="50"/>
  </r>
  <r>
    <n v="3392"/>
    <s v="Yasmin Silva"/>
    <x v="2"/>
    <d v="2024-08-05T00:00:00"/>
    <s v="Yes"/>
    <n v="10"/>
    <x v="1"/>
    <s v="No"/>
    <x v="1"/>
    <s v="Yes"/>
    <n v="20"/>
    <n v="15"/>
    <n v="15"/>
  </r>
  <r>
    <n v="3393"/>
    <s v="Zacarias de Souza"/>
    <x v="1"/>
    <d v="2024-08-06T00:00:00"/>
    <s v="No"/>
    <n v="5"/>
    <x v="0"/>
    <s v="No"/>
    <x v="1"/>
    <s v="No"/>
    <n v="0"/>
    <n v="1"/>
    <n v="4"/>
  </r>
  <r>
    <n v="3394"/>
    <s v="André Lima"/>
    <x v="0"/>
    <d v="2024-08-07T00:00:00"/>
    <s v="Yes"/>
    <n v="15"/>
    <x v="2"/>
    <s v="Yes"/>
    <x v="0"/>
    <s v="Yes"/>
    <n v="20"/>
    <n v="7"/>
    <n v="58"/>
  </r>
  <r>
    <n v="3395"/>
    <s v="Bianca Freitas"/>
    <x v="2"/>
    <d v="2024-08-08T00:00:00"/>
    <s v="No"/>
    <n v="10"/>
    <x v="0"/>
    <s v="No"/>
    <x v="1"/>
    <s v="Yes"/>
    <n v="20"/>
    <n v="10"/>
    <n v="20"/>
  </r>
  <r>
    <n v="3396"/>
    <s v="Caio Mendes"/>
    <x v="1"/>
    <d v="2024-08-09T00:00:00"/>
    <s v="Yes"/>
    <n v="5"/>
    <x v="1"/>
    <s v="No"/>
    <x v="1"/>
    <s v="No"/>
    <n v="0"/>
    <n v="0"/>
    <n v="5"/>
  </r>
  <r>
    <n v="3397"/>
    <s v="Daniela Moura"/>
    <x v="0"/>
    <d v="2024-08-10T00:00:00"/>
    <s v="No"/>
    <n v="15"/>
    <x v="0"/>
    <s v="Yes"/>
    <x v="0"/>
    <s v="Yes"/>
    <n v="20"/>
    <n v="20"/>
    <n v="45"/>
  </r>
  <r>
    <n v="3398"/>
    <s v="Eduardo Costa"/>
    <x v="2"/>
    <d v="2024-08-11T00:00:00"/>
    <s v="Yes"/>
    <n v="10"/>
    <x v="2"/>
    <s v="No"/>
    <x v="1"/>
    <s v="Yes"/>
    <n v="20"/>
    <n v="15"/>
    <n v="15"/>
  </r>
  <r>
    <n v="3399"/>
    <s v="Fernanda Gomes"/>
    <x v="1"/>
    <d v="2024-08-12T00:00:00"/>
    <s v="No"/>
    <n v="5"/>
    <x v="0"/>
    <s v="No"/>
    <x v="1"/>
    <s v="No"/>
    <n v="0"/>
    <n v="1"/>
    <n v="4"/>
  </r>
  <r>
    <n v="3400"/>
    <s v="Guilherme Souza"/>
    <x v="0"/>
    <d v="2024-08-13T00:00:00"/>
    <s v="Yes"/>
    <n v="15"/>
    <x v="1"/>
    <s v="Yes"/>
    <x v="0"/>
    <s v="Yes"/>
    <n v="20"/>
    <n v="5"/>
    <n v="60"/>
  </r>
  <r>
    <n v="3401"/>
    <s v="Helena Ribeiro"/>
    <x v="2"/>
    <d v="2024-08-14T00:00:00"/>
    <s v="No"/>
    <n v="10"/>
    <x v="0"/>
    <s v="No"/>
    <x v="1"/>
    <s v="Yes"/>
    <n v="20"/>
    <n v="10"/>
    <n v="20"/>
  </r>
  <r>
    <n v="3402"/>
    <s v="Igor Santos"/>
    <x v="1"/>
    <d v="2024-08-15T00:00:00"/>
    <s v="Yes"/>
    <n v="5"/>
    <x v="2"/>
    <s v="No"/>
    <x v="1"/>
    <s v="No"/>
    <n v="0"/>
    <n v="0"/>
    <n v="5"/>
  </r>
  <r>
    <n v="3403"/>
    <s v="João Carvalho"/>
    <x v="0"/>
    <d v="2024-08-16T00:00:00"/>
    <s v="No"/>
    <n v="15"/>
    <x v="0"/>
    <s v="Yes"/>
    <x v="0"/>
    <s v="Yes"/>
    <n v="20"/>
    <n v="3"/>
    <n v="62"/>
  </r>
  <r>
    <n v="3404"/>
    <s v="Klara Fagundes"/>
    <x v="2"/>
    <d v="2024-08-17T00:00:00"/>
    <s v="Yes"/>
    <n v="10"/>
    <x v="1"/>
    <s v="No"/>
    <x v="1"/>
    <s v="Yes"/>
    <n v="20"/>
    <n v="15"/>
    <n v="15"/>
  </r>
  <r>
    <n v="3405"/>
    <s v="Lúcia Mendonça"/>
    <x v="1"/>
    <d v="2024-08-18T00:00:00"/>
    <s v="No"/>
    <n v="5"/>
    <x v="0"/>
    <s v="No"/>
    <x v="1"/>
    <s v="No"/>
    <n v="0"/>
    <n v="1"/>
    <n v="4"/>
  </r>
  <r>
    <n v="3406"/>
    <s v="Marcelo Novaes"/>
    <x v="1"/>
    <d v="2024-08-19T00:00:00"/>
    <s v="Yes"/>
    <n v="5"/>
    <x v="0"/>
    <s v="No"/>
    <x v="1"/>
    <s v="No"/>
    <n v="0"/>
    <n v="0"/>
    <n v="5"/>
  </r>
  <r>
    <n v="3407"/>
    <s v="Nina Pacheco"/>
    <x v="0"/>
    <d v="2024-08-20T00:00:00"/>
    <s v="No"/>
    <n v="15"/>
    <x v="2"/>
    <s v="Yes"/>
    <x v="0"/>
    <s v="Yes"/>
    <n v="20"/>
    <n v="7"/>
    <n v="58"/>
  </r>
  <r>
    <n v="3408"/>
    <s v="Olívia Rios"/>
    <x v="2"/>
    <d v="2024-08-21T00:00:00"/>
    <s v="Yes"/>
    <n v="10"/>
    <x v="1"/>
    <s v="No"/>
    <x v="1"/>
    <s v="Yes"/>
    <n v="20"/>
    <n v="10"/>
    <n v="20"/>
  </r>
  <r>
    <n v="3409"/>
    <s v="Paulo Quintana"/>
    <x v="1"/>
    <d v="2024-08-22T00:00:00"/>
    <s v="No"/>
    <n v="5"/>
    <x v="2"/>
    <s v="No"/>
    <x v="1"/>
    <s v="No"/>
    <n v="0"/>
    <n v="1"/>
    <n v="4"/>
  </r>
  <r>
    <n v="3410"/>
    <s v="Raquel Domingos"/>
    <x v="0"/>
    <d v="2024-08-23T00:00:00"/>
    <s v="Yes"/>
    <n v="15"/>
    <x v="0"/>
    <s v="Yes"/>
    <x v="0"/>
    <s v="Yes"/>
    <n v="20"/>
    <n v="15"/>
    <n v="50"/>
  </r>
  <r>
    <n v="3411"/>
    <s v="Samuel Viana"/>
    <x v="2"/>
    <d v="2024-08-24T00:00:00"/>
    <s v="No"/>
    <n v="10"/>
    <x v="0"/>
    <s v="No"/>
    <x v="1"/>
    <s v="Yes"/>
    <n v="20"/>
    <n v="5"/>
    <n v="25"/>
  </r>
  <r>
    <n v="3412"/>
    <s v="Tatiane Rocha"/>
    <x v="1"/>
    <d v="2024-08-25T00:00:00"/>
    <s v="Yes"/>
    <n v="5"/>
    <x v="1"/>
    <s v="No"/>
    <x v="1"/>
    <s v="No"/>
    <n v="0"/>
    <n v="0"/>
    <n v="5"/>
  </r>
  <r>
    <n v="3413"/>
    <s v="Ulysses Farias"/>
    <x v="0"/>
    <d v="2024-08-26T00:00:00"/>
    <s v="No"/>
    <n v="15"/>
    <x v="2"/>
    <s v="Yes"/>
    <x v="0"/>
    <s v="Yes"/>
    <n v="20"/>
    <n v="20"/>
    <n v="45"/>
  </r>
  <r>
    <n v="3414"/>
    <s v="Vanessa Moreira"/>
    <x v="2"/>
    <d v="2024-08-27T00:00:00"/>
    <s v="Yes"/>
    <n v="10"/>
    <x v="2"/>
    <s v="No"/>
    <x v="1"/>
    <s v="Yes"/>
    <n v="20"/>
    <n v="12"/>
    <n v="18"/>
  </r>
  <r>
    <n v="3415"/>
    <s v="William Carvalho"/>
    <x v="1"/>
    <d v="2024-08-28T00:00:00"/>
    <s v="No"/>
    <n v="5"/>
    <x v="0"/>
    <s v="No"/>
    <x v="1"/>
    <s v="No"/>
    <n v="0"/>
    <n v="2"/>
    <n v="3"/>
  </r>
  <r>
    <n v="3416"/>
    <s v="Ximena Barros"/>
    <x v="0"/>
    <d v="2024-08-29T00:00:00"/>
    <s v="Yes"/>
    <n v="15"/>
    <x v="1"/>
    <s v="Yes"/>
    <x v="0"/>
    <s v="Yes"/>
    <n v="20"/>
    <n v="5"/>
    <n v="60"/>
  </r>
  <r>
    <n v="3417"/>
    <s v="Yara Machado"/>
    <x v="2"/>
    <d v="2024-08-30T00:00:00"/>
    <s v="No"/>
    <n v="10"/>
    <x v="0"/>
    <s v="No"/>
    <x v="1"/>
    <s v="Yes"/>
    <n v="20"/>
    <n v="10"/>
    <n v="20"/>
  </r>
  <r>
    <n v="3418"/>
    <s v="Zacarias Costa"/>
    <x v="1"/>
    <d v="2024-08-31T00:00:00"/>
    <s v="Yes"/>
    <n v="5"/>
    <x v="2"/>
    <s v="No"/>
    <x v="1"/>
    <s v="No"/>
    <n v="0"/>
    <n v="0"/>
    <n v="5"/>
  </r>
  <r>
    <n v="3419"/>
    <s v="André Lopes"/>
    <x v="0"/>
    <d v="2024-09-01T00:00:00"/>
    <s v="No"/>
    <n v="15"/>
    <x v="0"/>
    <s v="Yes"/>
    <x v="0"/>
    <s v="Yes"/>
    <n v="20"/>
    <n v="3"/>
    <n v="62"/>
  </r>
  <r>
    <n v="3420"/>
    <s v="Beatriz Souza"/>
    <x v="2"/>
    <d v="2024-09-02T00:00:00"/>
    <s v="Yes"/>
    <n v="10"/>
    <x v="1"/>
    <s v="No"/>
    <x v="1"/>
    <s v="Yes"/>
    <n v="20"/>
    <n v="15"/>
    <n v="15"/>
  </r>
  <r>
    <n v="3421"/>
    <s v="Caio Pereira"/>
    <x v="1"/>
    <d v="2024-09-03T00:00:00"/>
    <s v="No"/>
    <n v="5"/>
    <x v="0"/>
    <s v="No"/>
    <x v="1"/>
    <s v="No"/>
    <n v="0"/>
    <n v="1"/>
    <n v="4"/>
  </r>
  <r>
    <n v="3422"/>
    <s v="Daniela Araújo"/>
    <x v="0"/>
    <d v="2024-09-04T00:00:00"/>
    <s v="Yes"/>
    <n v="15"/>
    <x v="2"/>
    <s v="Yes"/>
    <x v="0"/>
    <s v="Yes"/>
    <n v="20"/>
    <n v="7"/>
    <n v="58"/>
  </r>
  <r>
    <n v="3423"/>
    <s v="Eduardo Santos"/>
    <x v="2"/>
    <d v="2024-09-05T00:00:00"/>
    <s v="No"/>
    <n v="10"/>
    <x v="0"/>
    <s v="No"/>
    <x v="1"/>
    <s v="Yes"/>
    <n v="20"/>
    <n v="10"/>
    <n v="20"/>
  </r>
  <r>
    <n v="3424"/>
    <s v="Fernanda Lima"/>
    <x v="1"/>
    <d v="2024-09-06T00:00:00"/>
    <s v="Yes"/>
    <n v="5"/>
    <x v="1"/>
    <s v="No"/>
    <x v="1"/>
    <s v="No"/>
    <n v="0"/>
    <n v="0"/>
    <n v="5"/>
  </r>
  <r>
    <n v="3425"/>
    <s v="Gabriel Teixeira"/>
    <x v="0"/>
    <d v="2024-09-07T00:00:00"/>
    <s v="No"/>
    <n v="15"/>
    <x v="0"/>
    <s v="Yes"/>
    <x v="0"/>
    <s v="Yes"/>
    <n v="20"/>
    <n v="20"/>
    <n v="45"/>
  </r>
  <r>
    <n v="3426"/>
    <s v="Helena Ribeiro"/>
    <x v="2"/>
    <d v="2024-09-08T00:00:00"/>
    <s v="Yes"/>
    <n v="10"/>
    <x v="2"/>
    <s v="No"/>
    <x v="1"/>
    <s v="Yes"/>
    <n v="20"/>
    <n v="15"/>
    <n v="15"/>
  </r>
  <r>
    <n v="3427"/>
    <s v="Igor Mendes"/>
    <x v="1"/>
    <d v="2024-09-09T00:00:00"/>
    <s v="No"/>
    <n v="5"/>
    <x v="0"/>
    <s v="No"/>
    <x v="1"/>
    <s v="No"/>
    <n v="0"/>
    <n v="1"/>
    <n v="4"/>
  </r>
  <r>
    <n v="3428"/>
    <s v="Joana Silveira"/>
    <x v="0"/>
    <d v="2024-09-10T00:00:00"/>
    <s v="Yes"/>
    <n v="15"/>
    <x v="1"/>
    <s v="Yes"/>
    <x v="0"/>
    <s v="Yes"/>
    <n v="20"/>
    <n v="3"/>
    <n v="62"/>
  </r>
  <r>
    <n v="3429"/>
    <s v="Lucas Martins"/>
    <x v="2"/>
    <d v="2024-09-11T00:00:00"/>
    <s v="No"/>
    <n v="10"/>
    <x v="0"/>
    <s v="No"/>
    <x v="1"/>
    <s v="Yes"/>
    <n v="20"/>
    <n v="10"/>
    <n v="20"/>
  </r>
  <r>
    <n v="3430"/>
    <s v="Marcela Gouveia"/>
    <x v="1"/>
    <d v="2024-09-12T00:00:00"/>
    <s v="Yes"/>
    <n v="5"/>
    <x v="2"/>
    <s v="No"/>
    <x v="1"/>
    <s v="No"/>
    <n v="0"/>
    <n v="0"/>
    <n v="5"/>
  </r>
  <r>
    <n v="3431"/>
    <s v="Nicolas Borges"/>
    <x v="0"/>
    <d v="2024-09-13T00:00:00"/>
    <s v="No"/>
    <n v="15"/>
    <x v="0"/>
    <s v="Yes"/>
    <x v="0"/>
    <s v="Yes"/>
    <n v="20"/>
    <n v="15"/>
    <n v="50"/>
  </r>
  <r>
    <n v="3432"/>
    <s v="Olivia Freitas"/>
    <x v="2"/>
    <d v="2024-09-14T00:00:00"/>
    <s v="Yes"/>
    <n v="10"/>
    <x v="1"/>
    <s v="No"/>
    <x v="1"/>
    <s v="Yes"/>
    <n v="20"/>
    <n v="15"/>
    <n v="15"/>
  </r>
  <r>
    <n v="3433"/>
    <s v="Paulo Nogueira"/>
    <x v="1"/>
    <d v="2024-09-15T00:00:00"/>
    <s v="No"/>
    <n v="5"/>
    <x v="0"/>
    <s v="No"/>
    <x v="1"/>
    <s v="No"/>
    <n v="0"/>
    <n v="1"/>
    <n v="4"/>
  </r>
  <r>
    <n v="3434"/>
    <s v="Raquel Andrade"/>
    <x v="0"/>
    <d v="2024-09-16T00:00:00"/>
    <s v="Yes"/>
    <n v="15"/>
    <x v="2"/>
    <s v="Yes"/>
    <x v="0"/>
    <s v="Yes"/>
    <n v="20"/>
    <n v="7"/>
    <n v="58"/>
  </r>
  <r>
    <n v="3435"/>
    <s v="Sônia Carvalho"/>
    <x v="2"/>
    <d v="2024-09-17T00:00:00"/>
    <s v="No"/>
    <n v="10"/>
    <x v="0"/>
    <s v="No"/>
    <x v="1"/>
    <s v="Yes"/>
    <n v="20"/>
    <n v="10"/>
    <n v="20"/>
  </r>
  <r>
    <n v="3436"/>
    <s v="Tiago Rodrigues"/>
    <x v="1"/>
    <d v="2024-09-18T00:00:00"/>
    <s v="Yes"/>
    <n v="5"/>
    <x v="0"/>
    <s v="No"/>
    <x v="1"/>
    <s v="No"/>
    <n v="0"/>
    <n v="0"/>
    <n v="5"/>
  </r>
  <r>
    <n v="3437"/>
    <s v="Ursula Monteiro"/>
    <x v="0"/>
    <d v="2024-09-19T00:00:00"/>
    <s v="No"/>
    <n v="15"/>
    <x v="2"/>
    <s v="Yes"/>
    <x v="0"/>
    <s v="Yes"/>
    <n v="20"/>
    <n v="7"/>
    <n v="58"/>
  </r>
  <r>
    <n v="3438"/>
    <s v="Vanessa Pereira"/>
    <x v="2"/>
    <d v="2024-09-20T00:00:00"/>
    <s v="Yes"/>
    <n v="10"/>
    <x v="1"/>
    <s v="No"/>
    <x v="1"/>
    <s v="Yes"/>
    <n v="20"/>
    <n v="10"/>
    <n v="20"/>
  </r>
  <r>
    <n v="3439"/>
    <s v="Walter Silva"/>
    <x v="1"/>
    <d v="2024-09-21T00:00:00"/>
    <s v="No"/>
    <n v="5"/>
    <x v="2"/>
    <s v="No"/>
    <x v="1"/>
    <s v="No"/>
    <n v="0"/>
    <n v="1"/>
    <n v="4"/>
  </r>
  <r>
    <n v="3440"/>
    <s v="Xavier Almeida"/>
    <x v="0"/>
    <d v="2024-09-22T00:00:00"/>
    <s v="Yes"/>
    <n v="15"/>
    <x v="0"/>
    <s v="Yes"/>
    <x v="0"/>
    <s v="Yes"/>
    <n v="20"/>
    <n v="15"/>
    <n v="50"/>
  </r>
  <r>
    <n v="3441"/>
    <s v="Yasmine Correia"/>
    <x v="2"/>
    <d v="2024-09-23T00:00:00"/>
    <s v="No"/>
    <n v="10"/>
    <x v="0"/>
    <s v="No"/>
    <x v="1"/>
    <s v="Yes"/>
    <n v="20"/>
    <n v="5"/>
    <n v="25"/>
  </r>
  <r>
    <n v="3442"/>
    <s v="Zacarias Almeida"/>
    <x v="1"/>
    <d v="2024-09-24T00:00:00"/>
    <s v="Yes"/>
    <n v="5"/>
    <x v="1"/>
    <s v="No"/>
    <x v="1"/>
    <s v="No"/>
    <n v="0"/>
    <n v="0"/>
    <n v="5"/>
  </r>
  <r>
    <n v="3443"/>
    <s v="Amanda Costa"/>
    <x v="0"/>
    <d v="2024-09-25T00:00:00"/>
    <s v="No"/>
    <n v="15"/>
    <x v="2"/>
    <s v="Yes"/>
    <x v="0"/>
    <s v="Yes"/>
    <n v="20"/>
    <n v="20"/>
    <n v="45"/>
  </r>
  <r>
    <n v="3444"/>
    <s v="Bruno Ferreira"/>
    <x v="2"/>
    <d v="2024-09-26T00:00:00"/>
    <s v="Yes"/>
    <n v="10"/>
    <x v="2"/>
    <s v="No"/>
    <x v="1"/>
    <s v="Yes"/>
    <n v="20"/>
    <n v="12"/>
    <n v="18"/>
  </r>
  <r>
    <n v="3445"/>
    <s v="Carla Dias"/>
    <x v="1"/>
    <d v="2024-09-27T00:00:00"/>
    <s v="No"/>
    <n v="5"/>
    <x v="0"/>
    <s v="No"/>
    <x v="1"/>
    <s v="No"/>
    <n v="0"/>
    <n v="2"/>
    <n v="3"/>
  </r>
  <r>
    <n v="3446"/>
    <s v="Diogo Martins"/>
    <x v="0"/>
    <d v="2024-09-28T00:00:00"/>
    <s v="Yes"/>
    <n v="15"/>
    <x v="1"/>
    <s v="Yes"/>
    <x v="0"/>
    <s v="Yes"/>
    <n v="20"/>
    <n v="5"/>
    <n v="60"/>
  </r>
  <r>
    <n v="3447"/>
    <s v="Elisa Campos"/>
    <x v="2"/>
    <d v="2024-09-29T00:00:00"/>
    <s v="No"/>
    <n v="10"/>
    <x v="0"/>
    <s v="No"/>
    <x v="1"/>
    <s v="Yes"/>
    <n v="20"/>
    <n v="10"/>
    <n v="20"/>
  </r>
  <r>
    <n v="3448"/>
    <s v="Fabiana Lima"/>
    <x v="1"/>
    <d v="2024-09-30T00:00:00"/>
    <s v="Yes"/>
    <n v="5"/>
    <x v="2"/>
    <s v="No"/>
    <x v="1"/>
    <s v="No"/>
    <n v="0"/>
    <n v="0"/>
    <n v="5"/>
  </r>
  <r>
    <n v="3449"/>
    <s v="Gabriel Santos"/>
    <x v="0"/>
    <d v="2024-10-01T00:00:00"/>
    <s v="No"/>
    <n v="15"/>
    <x v="0"/>
    <s v="Yes"/>
    <x v="0"/>
    <s v="Yes"/>
    <n v="20"/>
    <n v="3"/>
    <n v="62"/>
  </r>
  <r>
    <n v="3450"/>
    <s v="Helena Ferreira"/>
    <x v="2"/>
    <d v="2024-10-02T00:00:00"/>
    <s v="Yes"/>
    <n v="10"/>
    <x v="1"/>
    <s v="No"/>
    <x v="1"/>
    <s v="Yes"/>
    <n v="20"/>
    <n v="15"/>
    <n v="15"/>
  </r>
  <r>
    <n v="3451"/>
    <s v="Ígor Nunes"/>
    <x v="1"/>
    <d v="2024-10-03T00:00:00"/>
    <s v="No"/>
    <n v="5"/>
    <x v="0"/>
    <s v="No"/>
    <x v="1"/>
    <s v="No"/>
    <n v="0"/>
    <n v="1"/>
    <n v="4"/>
  </r>
  <r>
    <n v="3452"/>
    <s v="Joana Silveira"/>
    <x v="0"/>
    <d v="2024-10-04T00:00:00"/>
    <s v="Yes"/>
    <n v="15"/>
    <x v="2"/>
    <s v="Yes"/>
    <x v="0"/>
    <s v="Yes"/>
    <n v="20"/>
    <n v="7"/>
    <n v="58"/>
  </r>
  <r>
    <n v="3453"/>
    <s v="Kléber Oliveira"/>
    <x v="2"/>
    <d v="2024-10-05T00:00:00"/>
    <s v="No"/>
    <n v="10"/>
    <x v="0"/>
    <s v="No"/>
    <x v="1"/>
    <s v="Yes"/>
    <n v="20"/>
    <n v="10"/>
    <n v="20"/>
  </r>
  <r>
    <n v="3454"/>
    <s v="Luciana Morais"/>
    <x v="1"/>
    <d v="2024-10-06T00:00:00"/>
    <s v="Yes"/>
    <n v="5"/>
    <x v="1"/>
    <s v="No"/>
    <x v="1"/>
    <s v="No"/>
    <n v="0"/>
    <n v="0"/>
    <n v="5"/>
  </r>
  <r>
    <n v="3455"/>
    <s v="Marcos Vinícius"/>
    <x v="0"/>
    <d v="2024-10-07T00:00:00"/>
    <s v="No"/>
    <n v="15"/>
    <x v="0"/>
    <s v="Yes"/>
    <x v="0"/>
    <s v="Yes"/>
    <n v="20"/>
    <n v="20"/>
    <n v="45"/>
  </r>
  <r>
    <n v="3456"/>
    <s v="Natália Barros"/>
    <x v="2"/>
    <d v="2024-10-08T00:00:00"/>
    <s v="Yes"/>
    <n v="10"/>
    <x v="2"/>
    <s v="No"/>
    <x v="1"/>
    <s v="Yes"/>
    <n v="20"/>
    <n v="15"/>
    <n v="15"/>
  </r>
  <r>
    <n v="3457"/>
    <s v="Oscar Sampaio"/>
    <x v="1"/>
    <d v="2024-10-09T00:00:00"/>
    <s v="No"/>
    <n v="5"/>
    <x v="0"/>
    <s v="No"/>
    <x v="1"/>
    <s v="No"/>
    <n v="0"/>
    <n v="1"/>
    <n v="4"/>
  </r>
  <r>
    <n v="3458"/>
    <s v="Patrícia Leite"/>
    <x v="0"/>
    <d v="2024-10-10T00:00:00"/>
    <s v="Yes"/>
    <n v="15"/>
    <x v="1"/>
    <s v="Yes"/>
    <x v="0"/>
    <s v="Yes"/>
    <n v="20"/>
    <n v="3"/>
    <n v="62"/>
  </r>
  <r>
    <n v="3459"/>
    <s v="Quênia Rocha"/>
    <x v="2"/>
    <d v="2024-10-11T00:00:00"/>
    <s v="No"/>
    <n v="10"/>
    <x v="0"/>
    <s v="No"/>
    <x v="1"/>
    <s v="Yes"/>
    <n v="20"/>
    <n v="10"/>
    <n v="20"/>
  </r>
  <r>
    <n v="3460"/>
    <s v="Rafael Torres"/>
    <x v="1"/>
    <d v="2024-10-12T00:00:00"/>
    <s v="Yes"/>
    <n v="5"/>
    <x v="2"/>
    <s v="No"/>
    <x v="1"/>
    <s v="No"/>
    <n v="0"/>
    <n v="0"/>
    <n v="5"/>
  </r>
  <r>
    <n v="3461"/>
    <s v="Sandra Gouveia"/>
    <x v="0"/>
    <d v="2024-10-13T00:00:00"/>
    <s v="No"/>
    <n v="15"/>
    <x v="0"/>
    <s v="Yes"/>
    <x v="0"/>
    <s v="Yes"/>
    <n v="20"/>
    <n v="15"/>
    <n v="50"/>
  </r>
  <r>
    <n v="3462"/>
    <s v="Tiago Lacerda"/>
    <x v="2"/>
    <d v="2024-10-14T00:00:00"/>
    <s v="Yes"/>
    <n v="10"/>
    <x v="1"/>
    <s v="No"/>
    <x v="1"/>
    <s v="Yes"/>
    <n v="20"/>
    <n v="15"/>
    <n v="15"/>
  </r>
  <r>
    <n v="3463"/>
    <s v="Ursula Fonseca"/>
    <x v="1"/>
    <d v="2024-10-15T00:00:00"/>
    <s v="No"/>
    <n v="5"/>
    <x v="0"/>
    <s v="No"/>
    <x v="1"/>
    <s v="No"/>
    <n v="0"/>
    <n v="1"/>
    <n v="4"/>
  </r>
  <r>
    <n v="3464"/>
    <s v="Vanessa Andrade"/>
    <x v="0"/>
    <d v="2024-10-16T00:00:00"/>
    <s v="Yes"/>
    <n v="15"/>
    <x v="2"/>
    <s v="Yes"/>
    <x v="0"/>
    <s v="Yes"/>
    <n v="20"/>
    <n v="7"/>
    <n v="58"/>
  </r>
  <r>
    <n v="3465"/>
    <s v="William Castro"/>
    <x v="2"/>
    <d v="2024-10-17T00:00:00"/>
    <s v="No"/>
    <n v="10"/>
    <x v="0"/>
    <s v="No"/>
    <x v="1"/>
    <s v="Yes"/>
    <n v="20"/>
    <n v="10"/>
    <n v="20"/>
  </r>
  <r>
    <n v="3466"/>
    <s v="Xavier Monteiro"/>
    <x v="1"/>
    <d v="2024-10-18T00:00:00"/>
    <s v="Yes"/>
    <n v="5"/>
    <x v="1"/>
    <s v="No"/>
    <x v="1"/>
    <s v="No"/>
    <n v="0"/>
    <n v="0"/>
    <n v="5"/>
  </r>
  <r>
    <n v="3467"/>
    <s v="Yasmin Figueira"/>
    <x v="0"/>
    <d v="2024-10-19T00:00:00"/>
    <s v="No"/>
    <n v="15"/>
    <x v="0"/>
    <s v="Yes"/>
    <x v="0"/>
    <s v="Yes"/>
    <n v="20"/>
    <n v="15"/>
    <n v="50"/>
  </r>
  <r>
    <n v="3468"/>
    <s v="Zacarias Mendonça"/>
    <x v="2"/>
    <d v="2024-10-20T00:00:00"/>
    <s v="Yes"/>
    <n v="10"/>
    <x v="2"/>
    <s v="No"/>
    <x v="1"/>
    <s v="Yes"/>
    <n v="20"/>
    <n v="12"/>
    <n v="18"/>
  </r>
  <r>
    <n v="3469"/>
    <s v="Amanda Menezes"/>
    <x v="1"/>
    <d v="2024-10-21T00:00:00"/>
    <s v="No"/>
    <n v="5"/>
    <x v="0"/>
    <s v="No"/>
    <x v="1"/>
    <s v="No"/>
    <n v="0"/>
    <n v="2"/>
    <n v="3"/>
  </r>
  <r>
    <n v="3470"/>
    <s v="Bruno Santos"/>
    <x v="0"/>
    <d v="2024-10-22T00:00:00"/>
    <s v="Yes"/>
    <n v="15"/>
    <x v="1"/>
    <s v="Yes"/>
    <x v="0"/>
    <s v="Yes"/>
    <n v="20"/>
    <n v="5"/>
    <n v="60"/>
  </r>
  <r>
    <n v="3471"/>
    <s v="Carla Ferreira"/>
    <x v="2"/>
    <d v="2024-10-23T00:00:00"/>
    <s v="No"/>
    <n v="10"/>
    <x v="0"/>
    <s v="No"/>
    <x v="1"/>
    <s v="Yes"/>
    <n v="20"/>
    <n v="10"/>
    <n v="20"/>
  </r>
  <r>
    <n v="3472"/>
    <s v="Diogo Alves"/>
    <x v="1"/>
    <d v="2024-10-24T00:00:00"/>
    <s v="Yes"/>
    <n v="5"/>
    <x v="2"/>
    <s v="No"/>
    <x v="1"/>
    <s v="No"/>
    <n v="0"/>
    <n v="0"/>
    <n v="5"/>
  </r>
  <r>
    <n v="3473"/>
    <s v="Elisa Neves"/>
    <x v="0"/>
    <d v="2024-10-25T00:00:00"/>
    <s v="No"/>
    <n v="15"/>
    <x v="0"/>
    <s v="Yes"/>
    <x v="0"/>
    <s v="Yes"/>
    <n v="20"/>
    <n v="3"/>
    <n v="62"/>
  </r>
  <r>
    <n v="3474"/>
    <s v="Fabiano Pires"/>
    <x v="2"/>
    <d v="2024-10-26T00:00:00"/>
    <s v="Yes"/>
    <n v="10"/>
    <x v="1"/>
    <s v="No"/>
    <x v="1"/>
    <s v="Yes"/>
    <n v="20"/>
    <n v="15"/>
    <n v="15"/>
  </r>
  <r>
    <n v="3475"/>
    <s v="Giovana Ribeiro"/>
    <x v="1"/>
    <d v="2024-10-27T00:00:00"/>
    <s v="No"/>
    <n v="5"/>
    <x v="0"/>
    <s v="No"/>
    <x v="1"/>
    <s v="No"/>
    <n v="0"/>
    <n v="1"/>
    <n v="4"/>
  </r>
  <r>
    <n v="3476"/>
    <s v="Hélio Costa"/>
    <x v="0"/>
    <d v="2024-10-28T00:00:00"/>
    <s v="Yes"/>
    <n v="15"/>
    <x v="2"/>
    <s v="Yes"/>
    <x v="0"/>
    <s v="Yes"/>
    <n v="20"/>
    <n v="7"/>
    <n v="58"/>
  </r>
  <r>
    <n v="3477"/>
    <s v="Íris Loureiro"/>
    <x v="2"/>
    <d v="2024-10-29T00:00:00"/>
    <s v="No"/>
    <n v="10"/>
    <x v="0"/>
    <s v="No"/>
    <x v="1"/>
    <s v="Yes"/>
    <n v="20"/>
    <n v="10"/>
    <n v="20"/>
  </r>
  <r>
    <n v="3478"/>
    <s v="João Pereira"/>
    <x v="1"/>
    <d v="2024-10-30T00:00:00"/>
    <s v="Yes"/>
    <n v="5"/>
    <x v="1"/>
    <s v="No"/>
    <x v="1"/>
    <s v="No"/>
    <n v="0"/>
    <n v="0"/>
    <n v="5"/>
  </r>
  <r>
    <n v="3479"/>
    <s v="Klara Silva"/>
    <x v="0"/>
    <d v="2024-10-31T00:00:00"/>
    <s v="No"/>
    <n v="15"/>
    <x v="0"/>
    <s v="Yes"/>
    <x v="0"/>
    <s v="Yes"/>
    <n v="20"/>
    <n v="20"/>
    <n v="45"/>
  </r>
  <r>
    <n v="3480"/>
    <s v="Luciana Barros"/>
    <x v="2"/>
    <d v="2024-11-01T00:00:00"/>
    <s v="Yes"/>
    <n v="10"/>
    <x v="2"/>
    <s v="No"/>
    <x v="1"/>
    <s v="Yes"/>
    <n v="20"/>
    <n v="15"/>
    <n v="15"/>
  </r>
  <r>
    <n v="3481"/>
    <s v="Marcos Gomes"/>
    <x v="1"/>
    <d v="2024-11-02T00:00:00"/>
    <s v="No"/>
    <n v="5"/>
    <x v="0"/>
    <s v="No"/>
    <x v="1"/>
    <s v="No"/>
    <n v="0"/>
    <n v="1"/>
    <n v="4"/>
  </r>
  <r>
    <n v="3482"/>
    <s v="Natália Soares"/>
    <x v="0"/>
    <d v="2024-11-03T00:00:00"/>
    <s v="Yes"/>
    <n v="15"/>
    <x v="1"/>
    <s v="Yes"/>
    <x v="0"/>
    <s v="Yes"/>
    <n v="20"/>
    <n v="3"/>
    <n v="62"/>
  </r>
  <r>
    <n v="3483"/>
    <s v="Oscar Machado"/>
    <x v="2"/>
    <d v="2024-11-04T00:00:00"/>
    <s v="No"/>
    <n v="10"/>
    <x v="0"/>
    <s v="No"/>
    <x v="1"/>
    <s v="Yes"/>
    <n v="20"/>
    <n v="10"/>
    <n v="20"/>
  </r>
  <r>
    <n v="3484"/>
    <s v="Patrícia Lima"/>
    <x v="1"/>
    <d v="2024-11-05T00:00:00"/>
    <s v="Yes"/>
    <n v="5"/>
    <x v="2"/>
    <s v="No"/>
    <x v="1"/>
    <s v="No"/>
    <n v="0"/>
    <n v="0"/>
    <n v="5"/>
  </r>
  <r>
    <n v="3485"/>
    <s v="Quirino Neto"/>
    <x v="0"/>
    <d v="2024-11-06T00:00:00"/>
    <s v="No"/>
    <n v="15"/>
    <x v="0"/>
    <s v="Yes"/>
    <x v="0"/>
    <s v="Yes"/>
    <n v="20"/>
    <n v="15"/>
    <n v="50"/>
  </r>
  <r>
    <n v="3486"/>
    <s v="Rafaela Souza"/>
    <x v="1"/>
    <d v="2024-11-07T00:00:00"/>
    <s v="Yes"/>
    <n v="5"/>
    <x v="0"/>
    <s v="No"/>
    <x v="1"/>
    <s v="No"/>
    <n v="0"/>
    <n v="0"/>
    <n v="5"/>
  </r>
  <r>
    <n v="3487"/>
    <s v="Sandro Almeida"/>
    <x v="0"/>
    <d v="2024-11-08T00:00:00"/>
    <s v="No"/>
    <n v="15"/>
    <x v="2"/>
    <s v="Yes"/>
    <x v="0"/>
    <s v="Yes"/>
    <n v="20"/>
    <n v="7"/>
    <n v="58"/>
  </r>
  <r>
    <n v="3488"/>
    <s v="Tânia Ribeiro"/>
    <x v="2"/>
    <d v="2024-11-09T00:00:00"/>
    <s v="Yes"/>
    <n v="10"/>
    <x v="1"/>
    <s v="No"/>
    <x v="1"/>
    <s v="Yes"/>
    <n v="20"/>
    <n v="10"/>
    <n v="20"/>
  </r>
  <r>
    <n v="3489"/>
    <s v="Ugo Dias"/>
    <x v="1"/>
    <d v="2024-11-10T00:00:00"/>
    <s v="No"/>
    <n v="5"/>
    <x v="2"/>
    <s v="No"/>
    <x v="1"/>
    <s v="No"/>
    <n v="0"/>
    <n v="1"/>
    <n v="4"/>
  </r>
  <r>
    <n v="3490"/>
    <s v="Valéria Lima"/>
    <x v="0"/>
    <d v="2024-11-11T00:00:00"/>
    <s v="Yes"/>
    <n v="15"/>
    <x v="0"/>
    <s v="Yes"/>
    <x v="0"/>
    <s v="Yes"/>
    <n v="20"/>
    <n v="15"/>
    <n v="50"/>
  </r>
  <r>
    <n v="3491"/>
    <s v="William Fernandes"/>
    <x v="2"/>
    <d v="2024-11-12T00:00:00"/>
    <s v="No"/>
    <n v="10"/>
    <x v="0"/>
    <s v="No"/>
    <x v="1"/>
    <s v="Yes"/>
    <n v="20"/>
    <n v="5"/>
    <n v="25"/>
  </r>
  <r>
    <n v="3492"/>
    <s v="Xuxa Mendes"/>
    <x v="1"/>
    <d v="2024-11-13T00:00:00"/>
    <s v="Yes"/>
    <n v="5"/>
    <x v="1"/>
    <s v="No"/>
    <x v="1"/>
    <s v="No"/>
    <n v="0"/>
    <n v="0"/>
    <n v="5"/>
  </r>
  <r>
    <n v="3493"/>
    <s v="Ygor Farias"/>
    <x v="0"/>
    <d v="2024-11-14T00:00:00"/>
    <s v="No"/>
    <n v="15"/>
    <x v="2"/>
    <s v="Yes"/>
    <x v="0"/>
    <s v="Yes"/>
    <n v="20"/>
    <n v="20"/>
    <n v="45"/>
  </r>
  <r>
    <n v="3494"/>
    <s v="Zilda Barros"/>
    <x v="2"/>
    <d v="2024-11-15T00:00:00"/>
    <s v="Yes"/>
    <n v="10"/>
    <x v="2"/>
    <s v="No"/>
    <x v="1"/>
    <s v="Yes"/>
    <n v="20"/>
    <n v="12"/>
    <n v="18"/>
  </r>
  <r>
    <n v="3495"/>
    <s v="Amanda Santos"/>
    <x v="1"/>
    <d v="2024-11-16T00:00:00"/>
    <s v="No"/>
    <n v="5"/>
    <x v="0"/>
    <s v="No"/>
    <x v="1"/>
    <s v="No"/>
    <n v="0"/>
    <n v="2"/>
    <n v="3"/>
  </r>
  <r>
    <n v="3496"/>
    <s v="Bruno Costa"/>
    <x v="0"/>
    <d v="2024-11-17T00:00:00"/>
    <s v="Yes"/>
    <n v="15"/>
    <x v="1"/>
    <s v="Yes"/>
    <x v="0"/>
    <s v="Yes"/>
    <n v="20"/>
    <n v="5"/>
    <n v="60"/>
  </r>
  <r>
    <n v="3497"/>
    <s v="Carla Rodrigues"/>
    <x v="2"/>
    <d v="2024-11-18T00:00:00"/>
    <s v="No"/>
    <n v="10"/>
    <x v="0"/>
    <s v="No"/>
    <x v="1"/>
    <s v="Yes"/>
    <n v="20"/>
    <n v="10"/>
    <n v="20"/>
  </r>
  <r>
    <n v="3498"/>
    <s v="Diogo Pereira"/>
    <x v="1"/>
    <d v="2024-11-19T00:00:00"/>
    <s v="Yes"/>
    <n v="5"/>
    <x v="2"/>
    <s v="No"/>
    <x v="1"/>
    <s v="No"/>
    <n v="0"/>
    <n v="0"/>
    <n v="5"/>
  </r>
  <r>
    <n v="3499"/>
    <s v="Elisa Correia"/>
    <x v="0"/>
    <d v="2024-11-20T00:00:00"/>
    <s v="No"/>
    <n v="15"/>
    <x v="0"/>
    <s v="Yes"/>
    <x v="0"/>
    <s v="Yes"/>
    <n v="20"/>
    <n v="3"/>
    <n v="62"/>
  </r>
  <r>
    <n v="3500"/>
    <s v="Fábio Lourenço"/>
    <x v="2"/>
    <d v="2024-11-21T00:00:00"/>
    <s v="Yes"/>
    <n v="10"/>
    <x v="1"/>
    <s v="No"/>
    <x v="1"/>
    <s v="Yes"/>
    <n v="20"/>
    <n v="15"/>
    <n v="15"/>
  </r>
  <r>
    <n v="3501"/>
    <s v="Gabriela Neves"/>
    <x v="1"/>
    <d v="2024-11-22T00:00:00"/>
    <s v="No"/>
    <n v="5"/>
    <x v="0"/>
    <s v="No"/>
    <x v="1"/>
    <s v="No"/>
    <n v="0"/>
    <n v="1"/>
    <n v="4"/>
  </r>
  <r>
    <n v="3502"/>
    <s v="Henrique Gonçalves"/>
    <x v="0"/>
    <d v="2024-11-23T00:00:00"/>
    <s v="Yes"/>
    <n v="15"/>
    <x v="2"/>
    <s v="Yes"/>
    <x v="0"/>
    <s v="Yes"/>
    <n v="20"/>
    <n v="7"/>
    <n v="58"/>
  </r>
  <r>
    <n v="3503"/>
    <s v="Íris Santos"/>
    <x v="2"/>
    <d v="2024-11-24T00:00:00"/>
    <s v="No"/>
    <n v="10"/>
    <x v="0"/>
    <s v="No"/>
    <x v="1"/>
    <s v="Yes"/>
    <n v="20"/>
    <n v="10"/>
    <n v="20"/>
  </r>
  <r>
    <n v="3504"/>
    <s v="João Marcelo Alves"/>
    <x v="1"/>
    <d v="2024-11-25T00:00:00"/>
    <s v="Yes"/>
    <n v="5"/>
    <x v="1"/>
    <s v="No"/>
    <x v="1"/>
    <s v="No"/>
    <n v="0"/>
    <n v="0"/>
    <n v="5"/>
  </r>
  <r>
    <n v="3505"/>
    <s v="Klara Fonseca"/>
    <x v="0"/>
    <d v="2024-11-26T00:00:00"/>
    <s v="No"/>
    <n v="15"/>
    <x v="0"/>
    <s v="Yes"/>
    <x v="0"/>
    <s v="Yes"/>
    <n v="20"/>
    <n v="20"/>
    <n v="45"/>
  </r>
  <r>
    <n v="3506"/>
    <s v="Lucas Mendonça"/>
    <x v="2"/>
    <d v="2024-11-27T00:00:00"/>
    <s v="Yes"/>
    <n v="10"/>
    <x v="2"/>
    <s v="No"/>
    <x v="1"/>
    <s v="Yes"/>
    <n v="20"/>
    <n v="15"/>
    <n v="15"/>
  </r>
  <r>
    <n v="3507"/>
    <s v="Marcela Torres"/>
    <x v="1"/>
    <d v="2024-11-28T00:00:00"/>
    <s v="No"/>
    <n v="5"/>
    <x v="0"/>
    <s v="No"/>
    <x v="1"/>
    <s v="No"/>
    <n v="0"/>
    <n v="1"/>
    <n v="4"/>
  </r>
  <r>
    <n v="3508"/>
    <s v="Natália Castro"/>
    <x v="0"/>
    <d v="2024-11-29T00:00:00"/>
    <s v="Yes"/>
    <n v="15"/>
    <x v="1"/>
    <s v="Yes"/>
    <x v="0"/>
    <s v="Yes"/>
    <n v="20"/>
    <n v="3"/>
    <n v="62"/>
  </r>
  <r>
    <n v="3509"/>
    <s v="Oscar Martins"/>
    <x v="2"/>
    <d v="2024-11-30T00:00:00"/>
    <s v="No"/>
    <n v="10"/>
    <x v="0"/>
    <s v="No"/>
    <x v="1"/>
    <s v="Yes"/>
    <n v="20"/>
    <n v="10"/>
    <n v="20"/>
  </r>
  <r>
    <n v="3510"/>
    <s v="Patrícia Oliveira"/>
    <x v="1"/>
    <d v="2024-12-01T00:00:00"/>
    <s v="Yes"/>
    <n v="5"/>
    <x v="2"/>
    <s v="No"/>
    <x v="1"/>
    <s v="No"/>
    <n v="0"/>
    <n v="0"/>
    <n v="5"/>
  </r>
  <r>
    <n v="3511"/>
    <s v="Quentin Nogueira"/>
    <x v="0"/>
    <d v="2024-12-02T00:00:00"/>
    <s v="No"/>
    <n v="15"/>
    <x v="0"/>
    <s v="Yes"/>
    <x v="0"/>
    <s v="Yes"/>
    <n v="20"/>
    <n v="15"/>
    <n v="50"/>
  </r>
  <r>
    <n v="3512"/>
    <s v="Raquel Silva"/>
    <x v="2"/>
    <d v="2024-12-03T00:00:00"/>
    <s v="Yes"/>
    <n v="10"/>
    <x v="1"/>
    <s v="No"/>
    <x v="1"/>
    <s v="Yes"/>
    <n v="20"/>
    <n v="15"/>
    <n v="15"/>
  </r>
  <r>
    <n v="3513"/>
    <s v="Sandro Gomes"/>
    <x v="1"/>
    <d v="2024-12-04T00:00:00"/>
    <s v="No"/>
    <n v="5"/>
    <x v="0"/>
    <s v="No"/>
    <x v="1"/>
    <s v="No"/>
    <n v="0"/>
    <n v="1"/>
    <n v="4"/>
  </r>
  <r>
    <n v="3514"/>
    <s v="Tânia Machado"/>
    <x v="0"/>
    <d v="2024-12-05T00:00:00"/>
    <s v="Yes"/>
    <n v="15"/>
    <x v="2"/>
    <s v="Yes"/>
    <x v="0"/>
    <s v="Yes"/>
    <n v="20"/>
    <n v="7"/>
    <n v="58"/>
  </r>
  <r>
    <n v="3515"/>
    <s v="Ursula Silva"/>
    <x v="2"/>
    <d v="2024-12-06T00:00:00"/>
    <s v="No"/>
    <n v="10"/>
    <x v="0"/>
    <s v="No"/>
    <x v="1"/>
    <s v="Yes"/>
    <n v="20"/>
    <n v="10"/>
    <n v="20"/>
  </r>
  <r>
    <n v="3516"/>
    <s v="Vanessa Moraes"/>
    <x v="1"/>
    <d v="2024-12-07T00:00:00"/>
    <s v="Yes"/>
    <n v="5"/>
    <x v="1"/>
    <s v="No"/>
    <x v="1"/>
    <s v="No"/>
    <n v="0"/>
    <n v="0"/>
    <n v="5"/>
  </r>
  <r>
    <n v="3517"/>
    <s v="William Carvalho"/>
    <x v="0"/>
    <d v="2024-12-08T00:00:00"/>
    <s v="No"/>
    <n v="15"/>
    <x v="0"/>
    <s v="Yes"/>
    <x v="0"/>
    <s v="Yes"/>
    <n v="20"/>
    <n v="20"/>
    <n v="45"/>
  </r>
  <r>
    <n v="3518"/>
    <s v="Xavier Reis"/>
    <x v="2"/>
    <d v="2024-12-09T00:00:00"/>
    <s v="Yes"/>
    <n v="10"/>
    <x v="2"/>
    <s v="No"/>
    <x v="1"/>
    <s v="Yes"/>
    <n v="20"/>
    <n v="12"/>
    <n v="18"/>
  </r>
  <r>
    <n v="3519"/>
    <s v="Yasmin Rocha"/>
    <x v="1"/>
    <d v="2024-12-10T00:00:00"/>
    <s v="No"/>
    <n v="5"/>
    <x v="0"/>
    <s v="No"/>
    <x v="1"/>
    <s v="No"/>
    <n v="0"/>
    <n v="2"/>
    <n v="3"/>
  </r>
  <r>
    <n v="3520"/>
    <s v="Zacarias Duarte"/>
    <x v="0"/>
    <d v="2024-12-11T00:00:00"/>
    <s v="Yes"/>
    <n v="15"/>
    <x v="1"/>
    <s v="Yes"/>
    <x v="0"/>
    <s v="Yes"/>
    <n v="20"/>
    <n v="5"/>
    <n v="60"/>
  </r>
  <r>
    <n v="3521"/>
    <s v="Amanda Freitas"/>
    <x v="2"/>
    <d v="2024-12-12T00:00:00"/>
    <s v="No"/>
    <n v="10"/>
    <x v="0"/>
    <s v="No"/>
    <x v="1"/>
    <s v="Yes"/>
    <n v="20"/>
    <n v="10"/>
    <n v="20"/>
  </r>
  <r>
    <n v="3522"/>
    <s v="Bruno Almeida"/>
    <x v="1"/>
    <d v="2024-12-13T00:00:00"/>
    <s v="Yes"/>
    <n v="5"/>
    <x v="2"/>
    <s v="No"/>
    <x v="1"/>
    <s v="No"/>
    <n v="0"/>
    <n v="0"/>
    <n v="5"/>
  </r>
  <r>
    <n v="3523"/>
    <s v="Carla Siqueira"/>
    <x v="0"/>
    <d v="2024-12-14T00:00:00"/>
    <s v="No"/>
    <n v="15"/>
    <x v="0"/>
    <s v="Yes"/>
    <x v="0"/>
    <s v="Yes"/>
    <n v="20"/>
    <n v="3"/>
    <n v="62"/>
  </r>
  <r>
    <n v="3524"/>
    <s v="Diogo Ramos"/>
    <x v="2"/>
    <d v="2024-12-15T00:00:00"/>
    <s v="Yes"/>
    <n v="10"/>
    <x v="1"/>
    <s v="No"/>
    <x v="1"/>
    <s v="Yes"/>
    <n v="20"/>
    <n v="15"/>
    <n v="15"/>
  </r>
  <r>
    <n v="3525"/>
    <s v="Elisa Magalhães"/>
    <x v="1"/>
    <d v="2024-12-16T00:00:00"/>
    <s v="No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314C2-9770-4F57-AF60-3344A8941EEE}" name="Tabela dinâmica2" cacheId="0" applyNumberFormats="0" applyBorderFormats="0" applyFontFormats="0" applyPatternFormats="0" applyAlignmentFormats="0" applyWidthHeightFormats="1" dataCaption="Valores" updatedVersion="8" minRefreshableVersion="3" showDrill="0" showDataTips="0" enableDrill="0" useAutoFormatting="1" rowGrandTotals="0" colGrandTotals="0" createdVersion="8" indent="0" showHeaders="0" outline="1" outlineData="1" multipleFieldFilters="0" chartFormat="2" customListSort="0">
  <location ref="B32:B33" firstHeaderRow="1" firstDataRow="1" firstDataCol="0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57612-EB3E-4680-96D5-97A0A3D6599D}" name="Tabela dinâmica1" cacheId="0" applyNumberFormats="0" applyBorderFormats="0" applyFontFormats="0" applyPatternFormats="0" applyAlignmentFormats="0" applyWidthHeightFormats="1" dataCaption="Valores" updatedVersion="8" minRefreshableVersion="3" showDrill="0" showDataTips="0" enableDrill="0" useAutoFormatting="1" rowGrandTotals="0" colGrandTotals="0" createdVersion="8" indent="0" showHeaders="0" outline="1" outlineData="1" multipleFieldFilters="0" chartFormat="2" customListSort="0">
  <location ref="B25:B26" firstHeaderRow="1" firstDataRow="1" firstDataCol="0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Items count="1">
    <i/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A4C61-4991-4ADC-B621-A0D7E5EC5A4E}" name="tbl_ea" cacheId="0" applyNumberFormats="0" applyBorderFormats="0" applyFontFormats="0" applyPatternFormats="0" applyAlignmentFormats="0" applyWidthHeightFormats="1" dataCaption="Valores" updatedVersion="8" minRefreshableVersion="3" showDrill="0" showDataTips="0" enableDrill="0" useAutoFormatting="1" rowGrandTotals="0" colGrandTotals="0" createdVersion="8" indent="0" showHeaders="0" outline="1" outlineData="1" multipleFieldFilters="0" chartFormat="2" customListSort="0">
  <location ref="B16:B17" firstHeaderRow="1" firstDataRow="1" firstDataCol="0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6" hier="-1"/>
  </pageFields>
  <dataFields count="1">
    <dataField name="Soma de EA Play Season Pass" fld="8" baseField="2" baseItem="0" numFmtId="4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7A41E-BA8F-42E3-93CA-B17CA495EC6C}" name="tbl_total" cacheId="0" applyNumberFormats="0" applyBorderFormats="0" applyFontFormats="0" applyPatternFormats="0" applyAlignmentFormats="0" applyWidthHeightFormats="1" dataCaption="Valores" updatedVersion="8" minRefreshableVersion="3" showDrill="0" showDataTips="0" enableDrill="0" useAutoFormatting="1" rowGrandTotals="0" colGrandTotals="0" createdVersion="8" indent="0" showHeaders="0" outline="1" outlineData="1" multipleFieldFilters="0" chartFormat="6" customListSort="0">
  <location ref="B4:C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3">
    <i>
      <x/>
    </i>
    <i>
      <x v="1"/>
    </i>
    <i>
      <x v="2"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F4C88E1-B502-4E19-BD96-CD21DB152027}" sourceName="Subscription Type">
  <pivotTables>
    <pivotTable tabId="3" name="tbl_total"/>
    <pivotTable tabId="3" name="tbl_ea"/>
    <pivotTable tabId="3" name="Tabela dinâmica1"/>
    <pivotTable tabId="3" name="Tabela dinâmica2"/>
  </pivotTables>
  <data>
    <tabular pivotCacheId="83779304">
      <items count="3">
        <i x="1" s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56FFD5F-5A2A-4449-AF92-ADB23C8EAF83}" cache="SegmentaçãodeDados_Subscription_Type" caption="Tipo de Assinatura" style="Estilo de Segmentação de Dados 1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1">
  <autoFilter ref="A1:M296" xr:uid="{34E0E886-4200-4B36-97B3-63DB74FF40A0}"/>
  <tableColumns count="13">
    <tableColumn id="1" xr3:uid="{C4A90516-688A-46BF-9167-EA16C2A8A652}" name="Subscriber ID" dataDxfId="20"/>
    <tableColumn id="2" xr3:uid="{53DD39D0-2220-4121-9E9D-4EAA7E151C0F}" name="Name" dataDxfId="19"/>
    <tableColumn id="3" xr3:uid="{4F5FF271-4C57-4BE0-8F2C-F82C8551625C}" name="Plan" dataDxfId="18"/>
    <tableColumn id="4" xr3:uid="{8C17EB93-79B9-4E55-B8F7-BEB82F8253E9}" name="Start Date" dataDxfId="17"/>
    <tableColumn id="5" xr3:uid="{48CEDF9B-1689-482A-A828-5CCE7713264A}" name="Auto Renewal" dataDxfId="16"/>
    <tableColumn id="6" xr3:uid="{78B82374-9AA7-4E38-AE4F-78CDE6C83720}" name="Subscription Price" dataDxfId="15" dataCellStyle="Moeda"/>
    <tableColumn id="7" xr3:uid="{F2433F68-AF33-49D0-B1FB-19A396074EDE}" name="Subscription Type" dataDxfId="14"/>
    <tableColumn id="8" xr3:uid="{FD4D9C95-F6E5-4933-9068-A71FF7DF9343}" name="EA Play Season Pass" dataDxfId="13"/>
    <tableColumn id="13" xr3:uid="{978DD0D2-834E-4CE4-A39B-30976086932F}" name="EA Play Season Pass_x000a_Price" dataDxfId="12" dataCellStyle="Moeda"/>
    <tableColumn id="9" xr3:uid="{6E29F111-C395-4580-9DAD-3407D9E8B1A4}" name="Minecraft Season Pass" dataDxfId="11"/>
    <tableColumn id="10" xr3:uid="{EF544EAA-7F25-4FD5-A10E-8E62804DB9E3}" name="Minecraft Season Pass Price" dataDxfId="10" dataCellStyle="Moeda"/>
    <tableColumn id="11" xr3:uid="{7F6EB64A-1F07-4E48-9F0F-AC7D9DCD26F8}" name="Coupon Value" dataDxfId="9" dataCellStyle="Moeda"/>
    <tableColumn id="12" xr3:uid="{2B04ABC8-DE6F-426E-ADC0-D8AFC68CA58E}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3" sqref="B3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9" spans="2:16" x14ac:dyDescent="0.35">
      <c r="B9" s="3" t="s">
        <v>2</v>
      </c>
      <c r="C9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honeticPr fontId="4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1" zoomScale="90" zoomScaleNormal="90" workbookViewId="0">
      <selection activeCell="H14" sqref="H14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3.54296875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3"/>
  <sheetViews>
    <sheetView showGridLines="0" topLeftCell="A10" zoomScale="70" zoomScaleNormal="70" workbookViewId="0">
      <selection activeCell="F30" sqref="F30"/>
    </sheetView>
  </sheetViews>
  <sheetFormatPr defaultRowHeight="14.5" x14ac:dyDescent="0.35"/>
  <cols>
    <col min="2" max="2" width="17.7265625" bestFit="1" customWidth="1"/>
    <col min="3" max="3" width="14.90625" bestFit="1" customWidth="1"/>
    <col min="4" max="4" width="30.54296875" bestFit="1" customWidth="1"/>
    <col min="5" max="5" width="6.26953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2" spans="2:6" x14ac:dyDescent="0.35">
      <c r="B2" s="12" t="s">
        <v>16</v>
      </c>
      <c r="C2" t="s">
        <v>316</v>
      </c>
    </row>
    <row r="4" spans="2:6" x14ac:dyDescent="0.35">
      <c r="C4" t="s">
        <v>313</v>
      </c>
    </row>
    <row r="5" spans="2:6" x14ac:dyDescent="0.35">
      <c r="B5" s="13" t="s">
        <v>22</v>
      </c>
      <c r="C5" s="14">
        <v>312</v>
      </c>
    </row>
    <row r="6" spans="2:6" x14ac:dyDescent="0.35">
      <c r="B6" s="13" t="s">
        <v>26</v>
      </c>
      <c r="C6" s="14">
        <v>1406</v>
      </c>
    </row>
    <row r="7" spans="2:6" x14ac:dyDescent="0.35">
      <c r="B7" s="13" t="s">
        <v>18</v>
      </c>
      <c r="C7" s="14">
        <v>3607</v>
      </c>
    </row>
    <row r="14" spans="2:6" x14ac:dyDescent="0.35">
      <c r="B14" s="12" t="s">
        <v>16</v>
      </c>
      <c r="C14" t="s">
        <v>316</v>
      </c>
      <c r="F14" s="15">
        <f>GETPIVOTDATA("EA Play Season Pass
Price",$B$16)</f>
        <v>1950</v>
      </c>
    </row>
    <row r="16" spans="2:6" x14ac:dyDescent="0.35">
      <c r="B16" t="s">
        <v>314</v>
      </c>
    </row>
    <row r="17" spans="2:6" x14ac:dyDescent="0.35">
      <c r="B17" s="14">
        <v>1950</v>
      </c>
    </row>
    <row r="23" spans="2:6" x14ac:dyDescent="0.35">
      <c r="B23" s="12" t="s">
        <v>16</v>
      </c>
      <c r="C23" t="s">
        <v>316</v>
      </c>
      <c r="F23" s="15">
        <f>GETPIVOTDATA("Minecraft Season Pass Price",$B$25)</f>
        <v>2740</v>
      </c>
    </row>
    <row r="25" spans="2:6" x14ac:dyDescent="0.35">
      <c r="B25" t="s">
        <v>315</v>
      </c>
    </row>
    <row r="26" spans="2:6" x14ac:dyDescent="0.35">
      <c r="B26" s="14">
        <v>2740</v>
      </c>
    </row>
    <row r="30" spans="2:6" x14ac:dyDescent="0.35">
      <c r="B30" s="12" t="s">
        <v>16</v>
      </c>
      <c r="C30" t="s">
        <v>316</v>
      </c>
      <c r="F30" s="15">
        <f>GETPIVOTDATA("Total Value",$B$32)</f>
        <v>5325</v>
      </c>
    </row>
    <row r="32" spans="2:6" x14ac:dyDescent="0.35">
      <c r="B32" t="s">
        <v>313</v>
      </c>
    </row>
    <row r="33" spans="2:2" x14ac:dyDescent="0.35">
      <c r="B33" s="14">
        <v>5325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B2:V30"/>
  <sheetViews>
    <sheetView showGridLines="0" showRowColHeaders="0" tabSelected="1" zoomScale="80" zoomScaleNormal="80" workbookViewId="0">
      <selection activeCell="B7" sqref="B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3.26953125" style="7" customWidth="1"/>
    <col min="2" max="2" width="30.1796875" style="7" customWidth="1"/>
    <col min="3" max="3" width="3.54296875" style="7" customWidth="1"/>
    <col min="4" max="11" width="8.7265625" style="7"/>
    <col min="12" max="12" width="6.54296875" style="7" customWidth="1"/>
    <col min="13" max="16384" width="8.7265625" style="7"/>
  </cols>
  <sheetData>
    <row r="2" spans="2:22" ht="39" customHeight="1" x14ac:dyDescent="0.3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2:22" ht="8.25" customHeight="1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2:22" ht="7.5" customHeigh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2:22" ht="10.5" customHeight="1" x14ac:dyDescent="0.3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2:22" ht="9.75" customHeight="1" x14ac:dyDescent="0.35">
      <c r="B6" s="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2:22" ht="33" customHeight="1" x14ac:dyDescent="0.35">
      <c r="B7" s="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2:22" x14ac:dyDescent="0.35">
      <c r="B8" s="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2:22" x14ac:dyDescent="0.35">
      <c r="B9" s="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2:22" x14ac:dyDescent="0.35">
      <c r="B10" s="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2:22" x14ac:dyDescent="0.35">
      <c r="B11" s="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2:22" x14ac:dyDescent="0.35">
      <c r="B12" s="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2:22" x14ac:dyDescent="0.35">
      <c r="B13" s="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2:22" x14ac:dyDescent="0.35">
      <c r="B14" s="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2:22" ht="20" thickBot="1" x14ac:dyDescent="0.5">
      <c r="B15" s="5"/>
      <c r="C15" s="16"/>
      <c r="D15" s="16"/>
      <c r="E15" s="1" t="s">
        <v>317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6"/>
      <c r="V15" s="16"/>
    </row>
    <row r="16" spans="2:22" ht="15" thickTop="1" x14ac:dyDescent="0.35">
      <c r="B16" s="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2:22" x14ac:dyDescent="0.35">
      <c r="B17" s="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2:22" x14ac:dyDescent="0.35">
      <c r="B18" s="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2:22" x14ac:dyDescent="0.35">
      <c r="B19" s="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2:22" x14ac:dyDescent="0.35">
      <c r="B20" s="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2:22" x14ac:dyDescent="0.35">
      <c r="B21" s="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2:22" x14ac:dyDescent="0.35">
      <c r="B22" s="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2:22" x14ac:dyDescent="0.35">
      <c r="B23" s="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2:22" x14ac:dyDescent="0.35">
      <c r="B24" s="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2:22" x14ac:dyDescent="0.35">
      <c r="B25" s="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2:22" x14ac:dyDescent="0.35">
      <c r="B26" s="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2:22" x14ac:dyDescent="0.35">
      <c r="B27" s="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2:22" x14ac:dyDescent="0.35">
      <c r="B28" s="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2:22" x14ac:dyDescent="0.35">
      <c r="B29" s="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2:22" x14ac:dyDescent="0.35">
      <c r="B30" s="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Kleverson Brandalize</cp:lastModifiedBy>
  <dcterms:created xsi:type="dcterms:W3CDTF">2024-12-19T13:13:10Z</dcterms:created>
  <dcterms:modified xsi:type="dcterms:W3CDTF">2026-06-16T15:02:12Z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